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6c73be3f79db8e88/Desktop/"/>
    </mc:Choice>
  </mc:AlternateContent>
  <xr:revisionPtr revIDLastSave="555" documentId="8_{724B1590-98F0-40B7-A875-71D17269A49E}" xr6:coauthVersionLast="47" xr6:coauthVersionMax="47" xr10:uidLastSave="{FAF2DD99-BADA-45FC-BECD-4CF5736603E8}"/>
  <bookViews>
    <workbookView xWindow="-108" yWindow="-108" windowWidth="23256" windowHeight="12456" activeTab="1" xr2:uid="{F98BC90F-FD72-4EDD-A5F7-5C87628054F0}"/>
  </bookViews>
  <sheets>
    <sheet name="Sample - Superstore" sheetId="2" r:id="rId1"/>
    <sheet name="Dashboard" sheetId="3" r:id="rId2"/>
  </sheets>
  <definedNames>
    <definedName name="_xlchart.v5.0" hidden="1">'Sample - Superstore'!$J$10:$J$15</definedName>
    <definedName name="_xlchart.v5.1" hidden="1">'Sample - Superstore'!$J$9</definedName>
    <definedName name="_xlchart.v5.2" hidden="1">'Sample - Superstore'!$K$10:$K$15</definedName>
    <definedName name="_xlchart.v5.3" hidden="1">'Sample - Superstore'!$K$9</definedName>
    <definedName name="_xlchart.v5.4" hidden="1">'Sample - Superstore'!$L$10:$L$14</definedName>
    <definedName name="_xlchart.v5.5" hidden="1">'Sample - Superstore'!$L$9</definedName>
    <definedName name="_xlchart.v5.6" hidden="1">'Sample - Superstore'!$M$10:$M$14</definedName>
    <definedName name="_xlchart.v5.7" hidden="1">'Sample - Superstore'!$M$9</definedName>
    <definedName name="Slicer_Category">#N/A</definedName>
    <definedName name="Slicer_Region">#N/A</definedName>
    <definedName name="Slicer_Segment">#N/A</definedName>
    <definedName name="Slicer_Ship_Mode">#N/A</definedName>
  </definedNames>
  <calcPr calcId="191029"/>
  <pivotCaches>
    <pivotCache cacheId="601"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9" i="2" l="1" a="1"/>
  <c r="AC9" i="2" s="1"/>
  <c r="M14" i="2"/>
  <c r="M13" i="2"/>
  <c r="M12" i="2"/>
  <c r="M11" i="2"/>
  <c r="M10" i="2"/>
  <c r="L14" i="2"/>
  <c r="L13" i="2"/>
  <c r="L12" i="2"/>
  <c r="L11" i="2"/>
  <c r="L10" i="2"/>
  <c r="T26" i="2" a="1"/>
  <c r="T26" i="2" s="1"/>
  <c r="Q26" i="2" a="1"/>
  <c r="Q26" i="2" s="1"/>
  <c r="AK10" i="2" a="1"/>
  <c r="AK10" i="2" s="1"/>
  <c r="AF30" i="2"/>
  <c r="AF29" i="2"/>
  <c r="AF28" i="2"/>
  <c r="AF27" i="2"/>
  <c r="AE30" i="2"/>
  <c r="AE29" i="2"/>
  <c r="AE28" i="2"/>
  <c r="AE27" i="2"/>
  <c r="AC27" i="2" a="1"/>
  <c r="AC27" i="2" s="1"/>
  <c r="W35" i="2"/>
  <c r="W34" i="2"/>
  <c r="W33" i="2"/>
  <c r="W32" i="2"/>
  <c r="W31" i="2"/>
  <c r="W30" i="2"/>
  <c r="W29" i="2"/>
  <c r="W28" i="2"/>
  <c r="W27" i="2"/>
  <c r="V35" i="2"/>
  <c r="V34" i="2"/>
  <c r="V33" i="2"/>
  <c r="V32" i="2"/>
  <c r="W16" i="2" a="1"/>
  <c r="W16" i="2" s="1"/>
  <c r="V20" i="2"/>
  <c r="V19" i="2"/>
  <c r="V18" i="2"/>
  <c r="U20" i="2"/>
  <c r="U19" i="2"/>
  <c r="U18" i="2"/>
  <c r="R21" i="2"/>
  <c r="R20" i="2"/>
  <c r="R19" i="2"/>
  <c r="R18" i="2"/>
  <c r="Q20" i="2"/>
  <c r="Q19" i="2"/>
  <c r="Q18" i="2"/>
  <c r="S17" i="2" a="1"/>
  <c r="S17" i="2" s="1"/>
  <c r="AE9" i="2" l="1"/>
  <c r="AE13" i="2"/>
  <c r="AF13" i="2"/>
  <c r="W24" i="2"/>
  <c r="AE20" i="2"/>
  <c r="AE12" i="2"/>
  <c r="AF14" i="2"/>
  <c r="W21" i="2"/>
  <c r="AE19" i="2"/>
  <c r="AE11" i="2"/>
  <c r="AF15" i="2"/>
  <c r="W22" i="2"/>
  <c r="AE18" i="2"/>
  <c r="AE10" i="2"/>
  <c r="AF16" i="2"/>
  <c r="W23" i="2"/>
  <c r="AE17" i="2"/>
  <c r="AF9" i="2"/>
  <c r="AF17" i="2"/>
  <c r="X21" i="2"/>
  <c r="X22" i="2"/>
  <c r="AE16" i="2"/>
  <c r="AF10" i="2"/>
  <c r="AF18" i="2"/>
  <c r="AE15" i="2"/>
  <c r="AF11" i="2"/>
  <c r="AF19" i="2"/>
  <c r="X23" i="2"/>
  <c r="AE14" i="2"/>
  <c r="AF12" i="2"/>
  <c r="AF20" i="2"/>
  <c r="X24" i="2"/>
  <c r="N17" i="2" a="1"/>
  <c r="N17" i="2" s="1"/>
  <c r="D17" i="2" a="1"/>
  <c r="D17" i="2" s="1"/>
  <c r="J10" i="2" a="1"/>
  <c r="J10"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8CB8F8-5EE6-41C5-8C63-B193783DB88B}"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<sst xmlns="http://schemas.openxmlformats.org/spreadsheetml/2006/main" count="779" uniqueCount="742">
  <si>
    <t>Sum of Sales</t>
  </si>
  <si>
    <t>Sum of Profit</t>
  </si>
  <si>
    <t>Sum of Quantity</t>
  </si>
  <si>
    <t>KPI Card</t>
  </si>
  <si>
    <t>Row Labels</t>
  </si>
  <si>
    <t>Furniture</t>
  </si>
  <si>
    <t>Office Supplies</t>
  </si>
  <si>
    <t>Technology</t>
  </si>
  <si>
    <t>Grand Total</t>
  </si>
  <si>
    <t>Category Analysis</t>
  </si>
  <si>
    <t>Central</t>
  </si>
  <si>
    <t>East</t>
  </si>
  <si>
    <t>South</t>
  </si>
  <si>
    <t>West</t>
  </si>
  <si>
    <t>Alabama</t>
  </si>
  <si>
    <t>Arizona</t>
  </si>
  <si>
    <t>Arkansas</t>
  </si>
  <si>
    <t>California</t>
  </si>
  <si>
    <t>Colorado</t>
  </si>
  <si>
    <t>Connecticut</t>
  </si>
  <si>
    <t>Delaware</t>
  </si>
  <si>
    <t>District of Columbia</t>
  </si>
  <si>
    <t>Florida</t>
  </si>
  <si>
    <t>Georgia</t>
  </si>
  <si>
    <t>Illinois</t>
  </si>
  <si>
    <t>Indiana</t>
  </si>
  <si>
    <t>Iowa</t>
  </si>
  <si>
    <t>Kansas</t>
  </si>
  <si>
    <t>Kentucky</t>
  </si>
  <si>
    <t>Louisiana</t>
  </si>
  <si>
    <t>Maryland</t>
  </si>
  <si>
    <t>Massachusetts</t>
  </si>
  <si>
    <t>Michigan</t>
  </si>
  <si>
    <t>Minnesota</t>
  </si>
  <si>
    <t>Mississippi</t>
  </si>
  <si>
    <t>Missouri</t>
  </si>
  <si>
    <t>Nebraska</t>
  </si>
  <si>
    <t>Nevada</t>
  </si>
  <si>
    <t>New Hampshire</t>
  </si>
  <si>
    <t>New Jersey</t>
  </si>
  <si>
    <t>New Mexico</t>
  </si>
  <si>
    <t>New York</t>
  </si>
  <si>
    <t>North Carolina</t>
  </si>
  <si>
    <t>Ohio</t>
  </si>
  <si>
    <t>Oklahoma</t>
  </si>
  <si>
    <t>Oregon</t>
  </si>
  <si>
    <t>Pennsylvania</t>
  </si>
  <si>
    <t>Rhode Island</t>
  </si>
  <si>
    <t>South Dakota</t>
  </si>
  <si>
    <t>Tennessee</t>
  </si>
  <si>
    <t>Texas</t>
  </si>
  <si>
    <t>Utah</t>
  </si>
  <si>
    <t>Virginia</t>
  </si>
  <si>
    <t>Washington</t>
  </si>
  <si>
    <t>Wisconsin</t>
  </si>
  <si>
    <t>Max</t>
  </si>
  <si>
    <t>Min</t>
  </si>
  <si>
    <t>Sales by State</t>
  </si>
  <si>
    <t>Consumer</t>
  </si>
  <si>
    <t>Corporate</t>
  </si>
  <si>
    <t>Home Office</t>
  </si>
  <si>
    <t>Sales by Region</t>
  </si>
  <si>
    <t>min</t>
  </si>
  <si>
    <t>Sales By Segment</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</si>
  <si>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</si>
  <si>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</si>
  <si>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</si>
  <si>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</si>
  <si>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</si>
  <si>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</si>
  <si>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</si>
  <si>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</si>
  <si>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</si>
  <si>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</si>
  <si>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</si>
  <si>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</si>
  <si>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</si>
  <si>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</si>
  <si>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</si>
  <si>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</si>
  <si>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</si>
  <si>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2014</t>
  </si>
  <si>
    <t>2015</t>
  </si>
  <si>
    <t>2016</t>
  </si>
  <si>
    <t>2017</t>
  </si>
  <si>
    <t>Jan</t>
  </si>
  <si>
    <t>Feb</t>
  </si>
  <si>
    <t>Mar</t>
  </si>
  <si>
    <t>Apr</t>
  </si>
  <si>
    <t>May</t>
  </si>
  <si>
    <t>Jun</t>
  </si>
  <si>
    <t>Jul</t>
  </si>
  <si>
    <t>Aug</t>
  </si>
  <si>
    <t>Sep</t>
  </si>
  <si>
    <t>Oct</t>
  </si>
  <si>
    <t>Nov</t>
  </si>
  <si>
    <t>Dec</t>
  </si>
  <si>
    <t>Sales By years</t>
  </si>
  <si>
    <t>Salesd By Months</t>
  </si>
  <si>
    <t>Sales</t>
  </si>
  <si>
    <t>#10- 4 1/8" x 9 1/2" Security-Tint Envelopes</t>
  </si>
  <si>
    <t>#10-4 1/8" x 9 1/2" Premium Diagonal Seam Envelopes</t>
  </si>
  <si>
    <t>1.7 Cubic Foot Compact "Cube" Office Refrigerators</t>
  </si>
  <si>
    <t>12-1/2 Diameter Round Wall Clock</t>
  </si>
  <si>
    <t>2300 Heavy-Duty Transfer File Systems by Perma</t>
  </si>
  <si>
    <t>24-Hour Round Wall Clock</t>
  </si>
  <si>
    <t>3.6 Cubic Foot Counter Height Office Refrigerator</t>
  </si>
  <si>
    <t>3M Hangers With Command Adhesive</t>
  </si>
  <si>
    <t>3M Organizer Strips</t>
  </si>
  <si>
    <t>3-ring staple pack</t>
  </si>
  <si>
    <t>4009 Highlighters by Sanford</t>
  </si>
  <si>
    <t>9-3/4 Diameter Round Wall Clock</t>
  </si>
  <si>
    <t>Aastra 57i VoIP phone</t>
  </si>
  <si>
    <t>Aastra 6757i CT Wireless VoIP phone</t>
  </si>
  <si>
    <t>Acco 3-Hole Punch</t>
  </si>
  <si>
    <t>Acco 6 Outlet Guardian Basic Surge Suppressor</t>
  </si>
  <si>
    <t>Acco 6 Outlet Guardian Premium Surge Suppressor</t>
  </si>
  <si>
    <t>Acco 6 Outlet Guardian Standard Surge Suppressor</t>
  </si>
  <si>
    <t>Acco 7-Outlet Masterpiece Power Center, Wihtout Fax/Phone Line Protection</t>
  </si>
  <si>
    <t>Acco D-Ring Binder w/DublLock</t>
  </si>
  <si>
    <t>Acco Four Pocket Poly Ring Binder with Label Holder, Smoke, 1"</t>
  </si>
  <si>
    <t>Acco Pressboard Covers with Storage Hooks, 14 7/8" x 11", Light Blue</t>
  </si>
  <si>
    <t>Acco PRESSTEX Data Binder with Storage Hooks, Dark Blue, 14 7/8" X 11"</t>
  </si>
  <si>
    <t>Acco Smartsocket Color-Coded Six-Outlet AC Adapter Model Surge Protectors</t>
  </si>
  <si>
    <t>Acco Suede Grain Vinyl Round Ring Binder</t>
  </si>
  <si>
    <t>ACCOHIDE Binder by Acco</t>
  </si>
  <si>
    <t>Acme 10" Easy Grip Assistive Scissors</t>
  </si>
  <si>
    <t>Acme Forged Steel Scissors with Black Enamel Handles</t>
  </si>
  <si>
    <t>Acme Softgrip Scissors</t>
  </si>
  <si>
    <t>Acme Stainless Steel Office Snips</t>
  </si>
  <si>
    <t>Acme Tagit Stainless Steel Antibacterial Scissors</t>
  </si>
  <si>
    <t>Adams Phone Message Book, 200 Message Capacity, 8 1/16” x 11”</t>
  </si>
  <si>
    <t>Adams Phone Message Book, Professional, 400 Message Capacity, 5 3/6” x 11”</t>
  </si>
  <si>
    <t>Adams Telephone Message Book W/Dividers/Space For Phone Numbers, 5 1/4"X8 1/2", 200/Messages</t>
  </si>
  <si>
    <t>Adams Telephone Message Book W/Dividers/Space For Phone Numbers, 5 1/4"X8 1/2", 300/Messages</t>
  </si>
  <si>
    <t>Adams Telephone Message Book w/Frequently-Called Numbers Space, 400 Messages per Book</t>
  </si>
  <si>
    <t>Adams Telephone Message Books, 5 1/4” x 11”</t>
  </si>
  <si>
    <t>Adams Write n' Stick Phone Message Book, 11" X 5 1/4", 200 Messages</t>
  </si>
  <si>
    <t>Adjustable Depth Letter/Legal Cart</t>
  </si>
  <si>
    <t>Advantus 10-Drawer Portable Organizer, Chrome Metal Frame, Smoke Drawers</t>
  </si>
  <si>
    <t>Advantus Panel Wall Acrylic Frame</t>
  </si>
  <si>
    <t>Advantus Plastic Paper Clips</t>
  </si>
  <si>
    <t>Advantus Push Pins</t>
  </si>
  <si>
    <t>Advantus SlideClip Paper Clips</t>
  </si>
  <si>
    <t>Advantus T-Pin Paper Clips</t>
  </si>
  <si>
    <t>Alliance Big Bands Rubber Bands, 12/Pack</t>
  </si>
  <si>
    <t>Alphabetical Labels for Top Tab Filing</t>
  </si>
  <si>
    <t>Aluminum Document Frame</t>
  </si>
  <si>
    <t>Aluminum Screw Posts</t>
  </si>
  <si>
    <t>Ampad Gold Fibre Wirebound Steno Books, 6" x 9", Gregg Ruled</t>
  </si>
  <si>
    <t>Ampad Phone Message Book, Recycled, 400 Message Capacity, 5 ¾” x 11”</t>
  </si>
  <si>
    <t>Angle-D Binders with Locking Rings, Label Holders</t>
  </si>
  <si>
    <t>Angle-D Ring Binders</t>
  </si>
  <si>
    <t>Anker 36W 4-Port USB Wall Charger Travel Power Adapter for iPhone 5s 5c 5</t>
  </si>
  <si>
    <t>APC 7 Outlet Network SurgeArrest Surge Protector</t>
  </si>
  <si>
    <t>Apple iPhone 5</t>
  </si>
  <si>
    <t>Apple iPhone 5S</t>
  </si>
  <si>
    <t>ARKON Windshield Dashboard Air Vent Car Mount Holder</t>
  </si>
  <si>
    <t>Artistic Insta-Plaque</t>
  </si>
  <si>
    <t>AT&amp;T 1070 Corded Phone</t>
  </si>
  <si>
    <t>AT&amp;T 841000 Phone</t>
  </si>
  <si>
    <t>AT&amp;T TR1909W</t>
  </si>
  <si>
    <t>Atlantic Metals Mobile 2-Shelf Bookcases, Custom Colors</t>
  </si>
  <si>
    <t>Atlantic Metals Mobile 3-Shelf Bookcases, Custom Colors</t>
  </si>
  <si>
    <t>Atlantic Metals Mobile 4-Shelf Bookcases, Custom Colors</t>
  </si>
  <si>
    <t>Avanti 1.7 Cu. Ft. Refrigerator</t>
  </si>
  <si>
    <t>Avery 473</t>
  </si>
  <si>
    <t>Avery 482</t>
  </si>
  <si>
    <t>Avery 483</t>
  </si>
  <si>
    <t>Avery 486</t>
  </si>
  <si>
    <t>Avery 488</t>
  </si>
  <si>
    <t>Avery 494</t>
  </si>
  <si>
    <t>Avery 499</t>
  </si>
  <si>
    <t>Avery 500</t>
  </si>
  <si>
    <t>Avery 505</t>
  </si>
  <si>
    <t>Avery 508</t>
  </si>
  <si>
    <t>Avery 512</t>
  </si>
  <si>
    <t>Avery 519</t>
  </si>
  <si>
    <t>Avery 52</t>
  </si>
  <si>
    <t>Avery Address/Shipping Labels for Typewriters, 4" x 2"</t>
  </si>
  <si>
    <t>Avery Binder Labels</t>
  </si>
  <si>
    <t>Avery Binding System Hidden Tab Executive Style Index Sets</t>
  </si>
  <si>
    <t>Avery Durable Binders</t>
  </si>
  <si>
    <t>Avery Durable Slant Ring Binders With Label Holder</t>
  </si>
  <si>
    <t>Avery Durable Slant Ring Binders, No Labels</t>
  </si>
  <si>
    <t>Avery Fluorescent Highlighter Four-Color Set</t>
  </si>
  <si>
    <t>Avery Hanging File Binders</t>
  </si>
  <si>
    <t>Avery Heavy-Duty EZD View Binder with Locking Rings</t>
  </si>
  <si>
    <t>Avery Personal Creations Heavyweight Cards</t>
  </si>
  <si>
    <t>Avery Poly Binder Pockets</t>
  </si>
  <si>
    <t>Avery Printable Repositionable Plastic Tabs</t>
  </si>
  <si>
    <t>Avoid Verbal Orders Carbonless Minifold Book</t>
  </si>
  <si>
    <t>Balt Solid Wood Rectangular Table</t>
  </si>
  <si>
    <t>Balt Solid Wood Round Tables</t>
  </si>
  <si>
    <t>Barricks 18" x 48" Non-Folding Utility Table with Bottom Storage Shelf</t>
  </si>
  <si>
    <t>Belkin 325VA UPS Surge Protector, 6'</t>
  </si>
  <si>
    <t>Belkin 7 Outlet SurgeMaster Surge Protector with Phone Protection</t>
  </si>
  <si>
    <t>Belkin 8 Outlet SurgeMaster II Gold Surge Protector</t>
  </si>
  <si>
    <t>Belkin 8 Outlet SurgeMaster II Gold Surge Protector with Phone Protection</t>
  </si>
  <si>
    <t>Belkin F9H710-06 7 Outlet SurgeMaster Surge Protector</t>
  </si>
  <si>
    <t>Belkin iPhone and iPad Lightning Cable</t>
  </si>
  <si>
    <t>Belkin Premiere Surge Master II 8-outlet surge protector</t>
  </si>
  <si>
    <t>Bevis 36 x 72 Conference Tables</t>
  </si>
  <si>
    <t>Bevis 44 x 96 Conference Tables</t>
  </si>
  <si>
    <t>Bevis Boat-Shaped Conference Table</t>
  </si>
  <si>
    <t>Bevis Rectangular Conference Tables</t>
  </si>
  <si>
    <t>Bevis Round Bullnose 29" High Table Top</t>
  </si>
  <si>
    <t>Bevis Round Conference Table Top, X-Base</t>
  </si>
  <si>
    <t>Bevis Steel Folding Chairs</t>
  </si>
  <si>
    <t>BIC Brite Liner Grip Highlighters, Assorted, 5/Pack</t>
  </si>
  <si>
    <t>BIC Brite Liner Highlighters</t>
  </si>
  <si>
    <t>Binney &amp; Smith Crayola Metallic Colored Pencils, 8-Color Set</t>
  </si>
  <si>
    <t>Binney &amp; Smith inkTank Erasable Desk Highlighter, Chisel Tip, Yellow, 12/Box</t>
  </si>
  <si>
    <t>Bionaire 99.97% HEPA Air Cleaner</t>
  </si>
  <si>
    <t>Bionaire Personal Warm Mist Humidifier/Vaporizer</t>
  </si>
  <si>
    <t>Boston 16801 Nautilus Battery Pencil Sharpener</t>
  </si>
  <si>
    <t>Boston 19500 Mighty Mite Electric Pencil Sharpener</t>
  </si>
  <si>
    <t>Boston Electric Pencil Sharpener, Model 1818, Charcoal Black</t>
  </si>
  <si>
    <t>BOSTON Model 1800 Electric Pencil Sharpeners, Putty/Woodgrain</t>
  </si>
  <si>
    <t>Boston School Pro Electric Pencil Sharpener, 1670</t>
  </si>
  <si>
    <t>BoxOffice By Design Rectangular and Half-Moon Meeting Room Tables</t>
  </si>
  <si>
    <t>Bretford CR4500 Series Slim Rectangular Table</t>
  </si>
  <si>
    <t>Bulldog Vacuum Base Pencil Sharpener</t>
  </si>
  <si>
    <t>Bush Andora Bookcase, Maple/Graphite Gray Finish</t>
  </si>
  <si>
    <t>Bush Heritage Pine Collection 5-Shelf Bookcase, Albany Pine Finish, *Special Order</t>
  </si>
  <si>
    <t>Bush Somerset Collection Bookcase</t>
  </si>
  <si>
    <t>Cameo Buff Policy Envelopes</t>
  </si>
  <si>
    <t>Canon Color ImageCLASS MF8580Cdw Wireless Laser All-In-One Printer, Copier, Scanner</t>
  </si>
  <si>
    <t>Canon imageCLASS 2200 Advanced Copier</t>
  </si>
  <si>
    <t>Canon Imageclass D680 Copier / Fax</t>
  </si>
  <si>
    <t>Cardinal EasyOpen D-Ring Binders</t>
  </si>
  <si>
    <t>Cardinal Holdit Data Disk Pockets</t>
  </si>
  <si>
    <t>Cardinal Slant-D Ring Binder, Heavy Gauge Vinyl</t>
  </si>
  <si>
    <t>Carina 42"Hx23 3/4"W Media Storage Unit</t>
  </si>
  <si>
    <t>Carina Double Wide Media Storage Towers in Natural &amp; Black</t>
  </si>
  <si>
    <t>Chromcraft Bull-Nose Wood Oval Conference Tables &amp; Bases</t>
  </si>
  <si>
    <t>Chromcraft Rectangular Conference Tables</t>
  </si>
  <si>
    <t>Chromcraft Round Conference Tables</t>
  </si>
  <si>
    <t>Cisco CP-7937G Unified IP Conference Station Phone</t>
  </si>
  <si>
    <t>Cisco IP Phone 7961G-GE VoIP phone</t>
  </si>
  <si>
    <t>Cisco Small Business SPA 502G VoIP phone</t>
  </si>
  <si>
    <t>Cisco SPA 502G IP Phone</t>
  </si>
  <si>
    <t>Cisco SPA112 2 Port Phone Adapter</t>
  </si>
  <si>
    <t>Cisco SPA301</t>
  </si>
  <si>
    <t>Cisco Unified IP Phone 7945G VoIP phone</t>
  </si>
  <si>
    <t>ClearOne CHATAttach 160 - speaker phone</t>
  </si>
  <si>
    <t>C-Line Cubicle Keepers Polyproplyene Holder With Velcro Backings</t>
  </si>
  <si>
    <t>C-Line Peel &amp; Stick Add-On Filing Pockets, 8-3/4 x 5-1/8, 10/Pack</t>
  </si>
  <si>
    <t>Color-Coded Legal Exhibit Labels</t>
  </si>
  <si>
    <t>Coloredge Poster Frame</t>
  </si>
  <si>
    <t>Compact Automatic Electric Letter Opener</t>
  </si>
  <si>
    <t>Companion Letter/Legal File, Black</t>
  </si>
  <si>
    <t>Computer Printout Index Tabs</t>
  </si>
  <si>
    <t>Crayola Anti Dust Chalk, 12/Pack</t>
  </si>
  <si>
    <t>Crayola Colored Pencils</t>
  </si>
  <si>
    <t>Cubify CubeX 3D Printer Triple Head Print</t>
  </si>
  <si>
    <t>Cush Cases Heavy Duty Rugged Cover Case for Samsung Galaxy S5 - Purple</t>
  </si>
  <si>
    <t>DAX Charcoal/Nickel-Tone Document Frame, 5 x 7</t>
  </si>
  <si>
    <t>Dax Clear Box Frame</t>
  </si>
  <si>
    <t>DAX Metal Frame, Desktop, Stepped-Edge</t>
  </si>
  <si>
    <t>DAX Two-Tone Rosewood/Black Document Frame, Desktop, 5 x 7</t>
  </si>
  <si>
    <t>DAX Value U-Channel Document Frames, Easel Back</t>
  </si>
  <si>
    <t>Decoflex Hanging Personal Folder File</t>
  </si>
  <si>
    <t>Decoflex Hanging Personal Folder File, Blue</t>
  </si>
  <si>
    <t>Deflect-o DuraMat Lighweight, Studded, Beveled Mat for Low Pile Carpeting</t>
  </si>
  <si>
    <t>Deflect-o SuperTray Unbreakable Stackable Tray, Letter, Black</t>
  </si>
  <si>
    <t>Deluxe Heavy-Duty Vinyl Round Ring Binder</t>
  </si>
  <si>
    <t>Design Ebony Sketching Pencil</t>
  </si>
  <si>
    <t>Dixon My First Ticonderoga Pencil, #2</t>
  </si>
  <si>
    <t>DIXON Oriole Pencils</t>
  </si>
  <si>
    <t>DIXON Ticonderoga Erasable Checking Pencils</t>
  </si>
  <si>
    <t>Dixon Ticonderoga Erasable Colored Pencil Set, 12-Color</t>
  </si>
  <si>
    <t>DMI Arturo Collection Mission-style Design Wood Chair</t>
  </si>
  <si>
    <t>Dot Matrix Printer Tape Reel Labels, White, 5000/Box</t>
  </si>
  <si>
    <t>Easy-staple paper</t>
  </si>
  <si>
    <t>Eaton Premium Continuous-Feed Paper, 25% Cotton, Letter Size, White, 1000 Shts/Box</t>
  </si>
  <si>
    <t>Eberhard Faber 3 1/2" Golf Pencils</t>
  </si>
  <si>
    <t>Economy Binders</t>
  </si>
  <si>
    <t>Economy Rollaway Files</t>
  </si>
  <si>
    <t>Eldon 100 Class Desk Accessories</t>
  </si>
  <si>
    <t>Eldon 200 Class Desk Accessories</t>
  </si>
  <si>
    <t>Eldon 200 Class Desk Accessories, Burgundy</t>
  </si>
  <si>
    <t>Eldon 200 Class Desk Accessories, Smoke</t>
  </si>
  <si>
    <t>Eldon Antistatic Chair Mats for Low to Medium Pile Carpets</t>
  </si>
  <si>
    <t>Eldon Base for stackable storage shelf, platinum</t>
  </si>
  <si>
    <t>Eldon ClusterMat Chair Mat with Cordless Antistatic Protection</t>
  </si>
  <si>
    <t>Eldon Delta Triangular Chair Mat, 52" x 58", Clear</t>
  </si>
  <si>
    <t>Eldon Executive Woodline II Desk Accessories, Mahogany</t>
  </si>
  <si>
    <t>Eldon Expressions Mahogany Wood Desk Collection</t>
  </si>
  <si>
    <t>Eldon Expressions Punched Metal &amp; Wood Desk Accessories, Black &amp; Cherry</t>
  </si>
  <si>
    <t>Eldon Expressions Wood and Plastic Desk Accessories, Cherry Wood</t>
  </si>
  <si>
    <t>Eldon Expressions Wood Desk Accessories, Oak</t>
  </si>
  <si>
    <t>Eldon Gobal File Keepers</t>
  </si>
  <si>
    <t>Eldon Image Series Black Desk Accessories</t>
  </si>
  <si>
    <t>Eldon Image Series Desk Accessories, Ebony</t>
  </si>
  <si>
    <t>Eldon Pizzaz Desk Accessories</t>
  </si>
  <si>
    <t>Eldon Portable Mobile Manager</t>
  </si>
  <si>
    <t>Eldon Stackable Tray, Side-Load, Legal, Smoke</t>
  </si>
  <si>
    <t>Eldon Wave Desk Accessories</t>
  </si>
  <si>
    <t>Electrix 20W Halogen Replacement Bulb for Zoom-In Desk Lamp</t>
  </si>
  <si>
    <t>Electrix Halogen Magnifier Lamp</t>
  </si>
  <si>
    <t>Enermax Aurora Lite Keyboard</t>
  </si>
  <si>
    <t>Epson WorkForce WF-2530 All-in-One Printer, Copier Scanner</t>
  </si>
  <si>
    <t>Eureka Disposable Bags for Sanitaire Vibra Groomer I Upright Vac</t>
  </si>
  <si>
    <t>Eureka Recycled Copy Paper 8 1/2" x 11", Ream</t>
  </si>
  <si>
    <t>Eureka Sanitaire  Commercial Upright</t>
  </si>
  <si>
    <t>Eureka The Boss Cordless Rechargeable Stick Vac</t>
  </si>
  <si>
    <t>Eureka The Boss Plus 12-Amp Hard Box Upright Vacuum, Red</t>
  </si>
  <si>
    <t>Executive Impressions 12" Wall Clock</t>
  </si>
  <si>
    <t>Executive Impressions 13" Chairman Wall Clock</t>
  </si>
  <si>
    <t>Executive Impressions 13" Clairmont Wall Clock</t>
  </si>
  <si>
    <t>Executive Impressions 14" Contract Wall Clock</t>
  </si>
  <si>
    <t>Executive Impressions Supervisor Wall Clock</t>
  </si>
  <si>
    <t>Faber Castell Col-Erase Pencils</t>
  </si>
  <si>
    <t>Fashion Color Clasp Envelopes</t>
  </si>
  <si>
    <t>Fellowes Basic Home/Office Series Surge Protectors</t>
  </si>
  <si>
    <t>Fellowes Binding Cases</t>
  </si>
  <si>
    <t>Fellowes Black Plastic Comb Bindings</t>
  </si>
  <si>
    <t>Fellowes Mobile File Cart, Black</t>
  </si>
  <si>
    <t>Fellowes Officeware Wire Shelving</t>
  </si>
  <si>
    <t>Fellowes PB200 Plastic Comb Binding Machine</t>
  </si>
  <si>
    <t>Fellowes PB300 Plastic Comb Binding Machine</t>
  </si>
  <si>
    <t>Fellowes PB500 Electric Punch Plastic Comb Binding Machine with Manual Bind</t>
  </si>
  <si>
    <t>Fellowes Personal Hanging Folder Files, Navy</t>
  </si>
  <si>
    <t>Fellowes Super Stor/Drawer</t>
  </si>
  <si>
    <t>Fellowes Super Stor/Drawer Files</t>
  </si>
  <si>
    <t>Fellowes Superior 10 Outlet Split Surge Protector</t>
  </si>
  <si>
    <t>File Shuttle I and Handi-File</t>
  </si>
  <si>
    <t>Flexible Leather- Look Classic Collection Ring Binder</t>
  </si>
  <si>
    <t>Floodlight Indoor Halogen Bulbs, 1 Bulb per Pack, 60 Watts</t>
  </si>
  <si>
    <t>G.E. Halogen Desk Lamp Bulbs</t>
  </si>
  <si>
    <t>G.E. Longer-Life Indoor Recessed Floodlight Bulbs</t>
  </si>
  <si>
    <t>GBC Clear Cover, 8-1/2 x 11, unpunched, 25 covers per pack</t>
  </si>
  <si>
    <t>GBC DocuBind 300 Electric Binding Machine</t>
  </si>
  <si>
    <t>GBC DocuBind TL200 Manual Binding Machine</t>
  </si>
  <si>
    <t>GBC DocuBind TL300 Electric Binding System</t>
  </si>
  <si>
    <t>GBC Durable Plastic Covers</t>
  </si>
  <si>
    <t>GBC Ibimaster 500 Manual ProClick Binding System</t>
  </si>
  <si>
    <t>GBC Instant Index System for Binding Systems</t>
  </si>
  <si>
    <t>GBC Instant Report Kit</t>
  </si>
  <si>
    <t>GBC Laser Imprintable Binding System Covers, Desert Sand</t>
  </si>
  <si>
    <t>GBC Plastic Binding Combs</t>
  </si>
  <si>
    <t>GBC Prestige Therm-A-Bind Covers</t>
  </si>
  <si>
    <t>GBC ProClick 150 Presentation Binding System</t>
  </si>
  <si>
    <t>GBC Recycled Grain Textured Covers</t>
  </si>
  <si>
    <t>GBC Recycled Regency Composition Covers</t>
  </si>
  <si>
    <t>GBC Standard Plastic Binding Systems Combs</t>
  </si>
  <si>
    <t>GBC Standard Recycled Report Covers, Clear Plastic Sheets</t>
  </si>
  <si>
    <t>GBC Standard Therm-A-Bind Covers</t>
  </si>
  <si>
    <t>GBC Twin Loop Wire Binding Elements</t>
  </si>
  <si>
    <t>GBC Velobind Prepunched Cover Sets, Regency Series</t>
  </si>
  <si>
    <t>GBC VeloBinder Electric Binding Machine</t>
  </si>
  <si>
    <t>GBC Wire Binding Strips</t>
  </si>
  <si>
    <t>GE 30524EE4</t>
  </si>
  <si>
    <t>GE 48" Fluorescent Tube, Cool White Energy Saver, 34 Watts, 30/Box</t>
  </si>
  <si>
    <t>GE DSL Phone Line Filter</t>
  </si>
  <si>
    <t>GE General Purpose, Extra Long Life, Showcase &amp; Floodlight Incandescent Bulbs</t>
  </si>
  <si>
    <t>Global Commerce Series High-Back Swivel/Tilt Chairs</t>
  </si>
  <si>
    <t>Global Deluxe High-Back Manager's Chair</t>
  </si>
  <si>
    <t>Global Deluxe Stacking Chair, Gray</t>
  </si>
  <si>
    <t>Global Geo Office Task Chair, Gray</t>
  </si>
  <si>
    <t>Global High-Back Leather Tilter, Burgundy</t>
  </si>
  <si>
    <t>Global Leather and Oak Executive Chair, Black</t>
  </si>
  <si>
    <t>Global Leather Executive Chair</t>
  </si>
  <si>
    <t>Global Leather Highback Executive Chair with Pneumatic Height Adjustment, Black</t>
  </si>
  <si>
    <t>Global Low Back Tilter Chair</t>
  </si>
  <si>
    <t>Global Manager's Adjustable Task Chair, Storm</t>
  </si>
  <si>
    <t>Global Push Button Manager's Chair, Indigo</t>
  </si>
  <si>
    <t>Global Stack Chair without Arms, Black</t>
  </si>
  <si>
    <t>Global Task Chair, Black</t>
  </si>
  <si>
    <t>Global Troy Executive Leather Low-Back Tilter</t>
  </si>
  <si>
    <t>Global Value Mid-Back Manager's Chair, Gray</t>
  </si>
  <si>
    <t>Global Wood Trimmed Manager's Task Chair, Khaki</t>
  </si>
  <si>
    <t>Google Nexus 5</t>
  </si>
  <si>
    <t>Gould Plastics 18-Pocket Panel Bin, 34w x 5-1/4d x 20-1/2h</t>
  </si>
  <si>
    <t>Gould Plastics 9-Pocket Panel Bin, 18-3/8w x 5-1/4d x 20-1/2h, Black</t>
  </si>
  <si>
    <t>Griffin GC17055 Auxiliary Audio Cable</t>
  </si>
  <si>
    <t>Harbour Creations Steel Folding Chair</t>
  </si>
  <si>
    <t>Harmony Air Purifier</t>
  </si>
  <si>
    <t>Hewlett Packard 610 Color Digital Copier / Printer</t>
  </si>
  <si>
    <t>Hewlett Packard LaserJet 3310 Copier</t>
  </si>
  <si>
    <t>High-Back Leather Manager's Chair</t>
  </si>
  <si>
    <t>Holmes Odor Grabber</t>
  </si>
  <si>
    <t>Holmes Replacement Filter for HEPA Air Cleaner, Very Large Room, HEPA Filter</t>
  </si>
  <si>
    <t>Home/Office Personal File Carts</t>
  </si>
  <si>
    <t>Hon 4070 Series Pagoda Armless Upholstered Stacking Chairs</t>
  </si>
  <si>
    <t>Hon 5100 Series Wood Tables</t>
  </si>
  <si>
    <t>HON 5400 Series Task Chairs for Big and Tall</t>
  </si>
  <si>
    <t>Hon Multipurpose Stacking Arm Chairs</t>
  </si>
  <si>
    <t>Hon Non-Folding Utility Tables</t>
  </si>
  <si>
    <t>Hon Olson Stacker Stools</t>
  </si>
  <si>
    <t>Hon Practical Foundations 30 x 60 Training Table, Light Gray/Charcoal</t>
  </si>
  <si>
    <t>Hon Racetrack Conference Tables</t>
  </si>
  <si>
    <t>Hoover Commercial Soft Guard Upright Vacuum And Disposable Filtration Bags</t>
  </si>
  <si>
    <t>Hoover Portapower Portable Vacuum</t>
  </si>
  <si>
    <t>Hoover Shoulder Vac Commercial Portable Vacuum</t>
  </si>
  <si>
    <t>Hot File 7-Pocket, Floor Stand</t>
  </si>
  <si>
    <t>Howard Miller 11-1/2" Diameter Brentwood Wall Clock</t>
  </si>
  <si>
    <t>Howard Miller 12-3/4 Diameter Accuwave DS  Wall Clock</t>
  </si>
  <si>
    <t>Howard Miller 13" Diameter Goldtone Round Wall Clock</t>
  </si>
  <si>
    <t>Howard Miller 13" Diameter Pewter Finish Round Wall Clock</t>
  </si>
  <si>
    <t>Howard Miller 13-3/4" Diameter Brushed Chrome Round Wall Clock</t>
  </si>
  <si>
    <t>HP Standard 104 key PS/2 Keyboard</t>
  </si>
  <si>
    <t>HTC One Mini</t>
  </si>
  <si>
    <t>Hunt BOSTON Model 1606 High-Volume Electric Pencil Sharpener, Beige</t>
  </si>
  <si>
    <t>Hunt PowerHouse Electric Pencil Sharpener, Blue</t>
  </si>
  <si>
    <t>I Need's 3d Hello Kitty Hybrid Silicone Case Cover for HTC One X 4g with 3d Hello Kitty Stylus Pen Green/pink</t>
  </si>
  <si>
    <t>i.Sound Portable Power - 8000 mAh</t>
  </si>
  <si>
    <t>Ibico Laser Imprintable Binding System Covers</t>
  </si>
  <si>
    <t>Ibico Plastic Spiral Binding Combs</t>
  </si>
  <si>
    <t>Iceberg Nesting Folding Chair, 19w x 6d x 43h</t>
  </si>
  <si>
    <t>Imation Bio 8GB USB Flash Drive Imation Corp</t>
  </si>
  <si>
    <t>Imation 16GB Mini TravelDrive USB 2.0 Flash Drive</t>
  </si>
  <si>
    <t>Imation 8gb Micro Traveldrive Usb 2.0 Flash Drive</t>
  </si>
  <si>
    <t>Imation 8GB Mini TravelDrive USB 2.0 Flash Drive</t>
  </si>
  <si>
    <t>Imation USB 2.0 Swivel Flash Drive USB flash drive - 4 GB - Pink</t>
  </si>
  <si>
    <t>Important Message Pads, 50 4-1/4 x 5-1/2 Forms per Pad</t>
  </si>
  <si>
    <t>Innergie mMini Combo Duo USB Travel Charging Kit</t>
  </si>
  <si>
    <t>Insertable Tab Post Binder Dividers</t>
  </si>
  <si>
    <t>Jackery Bar Premium Fast-charging Portable Charger</t>
  </si>
  <si>
    <t>Jawbone JAMBOX Wireless Bluetooth Speaker</t>
  </si>
  <si>
    <t>JBL Micro Wireless Portable Bluetooth Speaker</t>
  </si>
  <si>
    <t>Jet-Pak Recycled Peel 'N' Seal Padded Mailers</t>
  </si>
  <si>
    <t>Kensington 4 Outlet MasterPiece Compact Power Control Center</t>
  </si>
  <si>
    <t>Kensington 6 Outlet Guardian Standard Surge Protector</t>
  </si>
  <si>
    <t>Kensington 7 Outlet MasterPiece HOMEOFFICE Power Control Center</t>
  </si>
  <si>
    <t>Kensington 7 Outlet MasterPiece Power Center with Fax/Phone Line Protection</t>
  </si>
  <si>
    <t>Kingston Digital DataTraveler 16GB USB 2.0</t>
  </si>
  <si>
    <t>Kingston Digital DataTraveler 32GB USB 2.0</t>
  </si>
  <si>
    <t>Laminate Occasional Tables</t>
  </si>
  <si>
    <t>Large Capacity Hanging Post Binders</t>
  </si>
  <si>
    <t>Laser &amp; Ink Jet Business Envelopes</t>
  </si>
  <si>
    <t>Leather Task Chair, Black</t>
  </si>
  <si>
    <t>Lenovo 17-Key USB Numeric Keypad</t>
  </si>
  <si>
    <t>Lesro Sheffield Collection Coffee Table, End Table, Center Table, Corner Table</t>
  </si>
  <si>
    <t>Lexmark MarkNet N8150 Wireless Print Server</t>
  </si>
  <si>
    <t>Lexmark MX611dhe Monochrome Laser Printer</t>
  </si>
  <si>
    <t>LF Elite 3D Dazzle Designer Hard Case Cover, Lf Stylus Pen and Wiper For Apple Iphone 5c Mini Lite</t>
  </si>
  <si>
    <t>Lifetime Advantage Folding Chairs, 4/Carton</t>
  </si>
  <si>
    <t>Linden 10" Round Wall Clock, Black</t>
  </si>
  <si>
    <t>Logitech 910-002974 M325 Wireless Mouse for Web Scrolling</t>
  </si>
  <si>
    <t>Logitech B530 USB Headset - headset - Full size, Binaural</t>
  </si>
  <si>
    <t>Logitech ClearChat Comfort/USB Headset H390</t>
  </si>
  <si>
    <t>Logitech Desktop MK120 Mouse and keyboard Combo</t>
  </si>
  <si>
    <t>Logitech diNovo Edge Keyboard</t>
  </si>
  <si>
    <t>Logitech G13 Programmable Gameboard with LCD Display</t>
  </si>
  <si>
    <t>Logitech G430 Surround Sound Gaming Headset with Dolby 7.1 Technology</t>
  </si>
  <si>
    <t>Logitech K350 2.4Ghz Wireless Keyboard</t>
  </si>
  <si>
    <t>Logitech Wireless Performance Mouse MX for PC and Mac</t>
  </si>
  <si>
    <t>Logitech Gaming G510s - Keyboard</t>
  </si>
  <si>
    <t>Logitech LS21 Speaker System - PC Multimedia - 2.1-CH - Wired</t>
  </si>
  <si>
    <t>Luxo Economy Swing Arm Lamp</t>
  </si>
  <si>
    <t>Luxo Professional Combination Clamp-On Lamps</t>
  </si>
  <si>
    <t>Luxo Professional Magnifying Clamp-On Fluorescent Lamps</t>
  </si>
  <si>
    <t>Magna Visual Magnetic Picture Hangers</t>
  </si>
  <si>
    <t>Magnifier Swing Arm Lamp</t>
  </si>
  <si>
    <t>Manila Recycled Extra-Heavyweight Clasp Envelopes, 6" x 9"</t>
  </si>
  <si>
    <t>Martin-Yale Premier Letter Opener</t>
  </si>
  <si>
    <t>Master Caster Door Stop, Brown</t>
  </si>
  <si>
    <t>Master Giant Foot Doorstop, Safety Yellow</t>
  </si>
  <si>
    <t>Maxell 4.7GB DVD+RW 3/Pack</t>
  </si>
  <si>
    <t>Maxell 4.7GB DVD-R</t>
  </si>
  <si>
    <t>Maxell DVD-RAM Discs</t>
  </si>
  <si>
    <t>Mediabridge Sport Armband iPhone 5s</t>
  </si>
  <si>
    <t>Memorex Froggy Flash Drive 4 GB</t>
  </si>
  <si>
    <t>Memorex Froggy Flash Drive 8 GB</t>
  </si>
  <si>
    <t>Memorex Micro Travel Drive 32 GB</t>
  </si>
  <si>
    <t>Memorex Micro Travel Drive 4 GB</t>
  </si>
  <si>
    <t>Memorex Micro Travel Drive 8 GB</t>
  </si>
  <si>
    <t>Memorex Mini Travel Drive 16 GB USB 2.0 Flash Drive</t>
  </si>
  <si>
    <t>Memorex Mini Travel Drive 8 GB USB 2.0 Flash Drive</t>
  </si>
  <si>
    <t>Message Book, Standard Line "While You Were Out", 5 1/2" X 4", 200 Sets/Book</t>
  </si>
  <si>
    <t>Microsoft Sculpt Comfort Mouse</t>
  </si>
  <si>
    <t>Mophie Juice Pack Helium for iPhone</t>
  </si>
  <si>
    <t>Motorola Droid Maxx</t>
  </si>
  <si>
    <t>Motorola HK250 Universal Bluetooth Headset</t>
  </si>
  <si>
    <t>Multicolor Computer Printout Paper</t>
  </si>
  <si>
    <t>Multimedia Mailers</t>
  </si>
  <si>
    <t>Multi-Use Personal File Cart and Caster Set, Three Stacking Bins</t>
  </si>
  <si>
    <t>NETGEAR AC1750 Dual Band Gigabit Smart WiFi Router</t>
  </si>
  <si>
    <t>Newell 309</t>
  </si>
  <si>
    <t>Newell 31</t>
  </si>
  <si>
    <t>Newell 311</t>
  </si>
  <si>
    <t>Newell 312</t>
  </si>
  <si>
    <t>Newell 316</t>
  </si>
  <si>
    <t>Newell 318</t>
  </si>
  <si>
    <t>Newell 324</t>
  </si>
  <si>
    <t>Newell 325</t>
  </si>
  <si>
    <t>Newell 326</t>
  </si>
  <si>
    <t>Newell 327</t>
  </si>
  <si>
    <t>Newell 328</t>
  </si>
  <si>
    <t>Newell 332</t>
  </si>
  <si>
    <t>Newell 333</t>
  </si>
  <si>
    <t>Newell 334</t>
  </si>
  <si>
    <t>Newell 336</t>
  </si>
  <si>
    <t>Newell 337</t>
  </si>
  <si>
    <t>Newell 340</t>
  </si>
  <si>
    <t>Newell 341</t>
  </si>
  <si>
    <t>Newell 343</t>
  </si>
  <si>
    <t>Newell 345</t>
  </si>
  <si>
    <t>Newell 3-Hole Punched Plastic Slotted Magazine Holders for Binders</t>
  </si>
  <si>
    <t>Newell Chalk Holder</t>
  </si>
  <si>
    <t>Nokia Lumia 521 (T-Mobile)</t>
  </si>
  <si>
    <t>Nontoxic Chalk</t>
  </si>
  <si>
    <t>Nortel Business Series Terminal T7208 Digital phone</t>
  </si>
  <si>
    <t>Nortel Meridian M3904 Professional Digital phone</t>
  </si>
  <si>
    <t>Nortel Meridian M5316 Digital phone</t>
  </si>
  <si>
    <t>Nortel Networks T7316 E Nt8 B27</t>
  </si>
  <si>
    <t>Novimex Fabric Task Chair</t>
  </si>
  <si>
    <t>Novimex High-Tech Fabric Mesh Task Chair</t>
  </si>
  <si>
    <t>Office Impressions End Table, 20-1/2"H x 24"W x 20"D</t>
  </si>
  <si>
    <t>Office Star - Ergonomically Designed Knee Chair</t>
  </si>
  <si>
    <t>Office Star - Mesh Screen back chair with Vinyl seat</t>
  </si>
  <si>
    <t>Office Star - Mid Back Dual function Ergonomic High Back Chair with 2-Way Adjustable Arms</t>
  </si>
  <si>
    <t>Office Star - Professional Matrix Back Chair with 2-to-1 Synchro Tilt and Mesh Fabric Seat</t>
  </si>
  <si>
    <t>Office Star Flex Back Scooter Chair with White Frame</t>
  </si>
  <si>
    <t>OIC Binder Clips</t>
  </si>
  <si>
    <t>OIC Bulk Pack Metal Binder Clips</t>
  </si>
  <si>
    <t>OIC Colored Binder Clips, Assorted Sizes</t>
  </si>
  <si>
    <t>O'Sullivan 2-Shelf Heavy-Duty Bookcases</t>
  </si>
  <si>
    <t>Padded Folding Chairs, Black, 4/Carton</t>
  </si>
  <si>
    <t>Panasonic KP-310 Heavy-Duty Electric Pencil Sharpener</t>
  </si>
  <si>
    <t>Panasonic KP-380BK Classic Electric Pencil Sharpener</t>
  </si>
  <si>
    <t>Panasonic KX-TG9471B</t>
  </si>
  <si>
    <t>Panasonic Kx-TS550</t>
  </si>
  <si>
    <t>Pastel Pink Envelopes</t>
  </si>
  <si>
    <t>Peel &amp; Stick Add-On Corner Pockets</t>
  </si>
  <si>
    <t>Pencil and Crayon Sharpener</t>
  </si>
  <si>
    <t>Personal Creations Ink Jet Cards and Labels</t>
  </si>
  <si>
    <t>Personal Filing Tote with Lid, Black/Gray</t>
  </si>
  <si>
    <t>Personal Folder Holder, Ebony</t>
  </si>
  <si>
    <t>Petty Cash Envelope</t>
  </si>
  <si>
    <t>Pizazz Global Quick File</t>
  </si>
  <si>
    <t>Plantronics Cordless Phone Headset with In-line Volume - M214C</t>
  </si>
  <si>
    <t>Plantronics CS510 - Over-the-Head monaural Wireless Headset System</t>
  </si>
  <si>
    <t>Plantronics S12 Corded Telephone Headset System</t>
  </si>
  <si>
    <t>Plantronics Voyager Pro HD - Bluetooth Headset</t>
  </si>
  <si>
    <t>Plymouth Boxed Rubber Bands by Plymouth</t>
  </si>
  <si>
    <t>Poly String Tie Envelopes</t>
  </si>
  <si>
    <t>Polycom CX600 IP Phone VoIP phone</t>
  </si>
  <si>
    <t>Polycom SoundPoint Pro SE-225 Corded phone</t>
  </si>
  <si>
    <t>Polycom SoundStation2 EX Conference phone</t>
  </si>
  <si>
    <t>Post-it “Important Message” Note Pad, Neon Colors, 50 Sheets/Pad</t>
  </si>
  <si>
    <t>PowerGen Dual USB Car Charger</t>
  </si>
  <si>
    <t>Prang Colored Pencils</t>
  </si>
  <si>
    <t>Prang Drawing Pencil Set</t>
  </si>
  <si>
    <t>Prang Dustless Chalk Sticks</t>
  </si>
  <si>
    <t>Premier Electric Letter Opener</t>
  </si>
  <si>
    <t>Premier Elliptical Ring Binder, Black</t>
  </si>
  <si>
    <t>Premium Transparent Presentation Covers by GBC</t>
  </si>
  <si>
    <t>Premium Writing Pencils, Soft, #2 by Central Association for the Blind</t>
  </si>
  <si>
    <t>Pressboard Covers with Storage Hooks, 9 1/2" x 11", Light Blue</t>
  </si>
  <si>
    <t>Prestige Round Ring Binders</t>
  </si>
  <si>
    <t>PureGear Roll-On Screen Protector</t>
  </si>
  <si>
    <t>Pyle PRT45 Retro Home Telephone</t>
  </si>
  <si>
    <t>Quartet Alpha White Chalk, 12/Pack</t>
  </si>
  <si>
    <t>Quartet Omega Colored Chalk, 12/Pack</t>
  </si>
  <si>
    <t>Razer Kraken PRO Over Ear PC and Music Headset</t>
  </si>
  <si>
    <t>Razer Tiamat Over Ear 7.1 Surround Sound PC Gaming Headset</t>
  </si>
  <si>
    <t>RCA Visys Integrated PBX 8-Line Router</t>
  </si>
  <si>
    <t>Recycled Eldon Regeneration Jumbo File</t>
  </si>
  <si>
    <t>Recycled Steel Personal File for Hanging File Folders</t>
  </si>
  <si>
    <t>Rediform Wirebound "Phone Memo" Message Book, 11 x 5-3/4</t>
  </si>
  <si>
    <t>Redi-Strip #10 Envelopes, 4 1/8 x 9 1/2</t>
  </si>
  <si>
    <t>Riverside Palais Royal Lawyers Bookcase, Royale Cherry Finish</t>
  </si>
  <si>
    <t>Rogers Handheld Barrel Pencil Sharpener</t>
  </si>
  <si>
    <t>Rogers Jumbo File, Granite</t>
  </si>
  <si>
    <t>Round Ring Binders</t>
  </si>
  <si>
    <t>RSVP Cards &amp; Envelopes, Blank White, 8-1/2" X 11", 24 Cards/25 Envelopes/Set</t>
  </si>
  <si>
    <t>Rush Hierlooms Collection 1" Thick Stackable Bookcases</t>
  </si>
  <si>
    <t>Sabrent 4-Port USB 2.0 Hub</t>
  </si>
  <si>
    <t>SAFCO Boltless Steel Shelving</t>
  </si>
  <si>
    <t>Safco Commercial Shelving</t>
  </si>
  <si>
    <t>SAFCO Commercial Wire Shelving, Black</t>
  </si>
  <si>
    <t>Safco Contoured Stacking Chairs</t>
  </si>
  <si>
    <t>Safco Drafting Table</t>
  </si>
  <si>
    <t>SAFCO Folding Chair Trolley</t>
  </si>
  <si>
    <t>Safco Industrial Wire Shelving</t>
  </si>
  <si>
    <t>SAFCO Mobile Desk Side File, Wire Frame</t>
  </si>
  <si>
    <t>SAFCO PlanMaster Heigh-Adjustable Drafting Table Base, 43w x 30d x 30-37h, Black</t>
  </si>
  <si>
    <t>Samsung Galaxy S4 Mini</t>
  </si>
  <si>
    <t>SanDisk Ultra 32 GB MicroSDHC Class 10 Memory Card</t>
  </si>
  <si>
    <t>SanDisk Ultra 64 GB MicroSDHC Class 10 Memory Card</t>
  </si>
  <si>
    <t>Sanford Colorific Eraseable Coloring Pencils, 12 Count</t>
  </si>
  <si>
    <t>Sanford Uni-Blazer View Highlighters, Chisel Tip, Yellow</t>
  </si>
  <si>
    <t>Sanitaire Vibra Groomer IR Commercial Upright Vacuum, Replacement Belts</t>
  </si>
  <si>
    <t>Sanyo 2.5 Cubic Foot Mid-Size Office Refrigerators</t>
  </si>
  <si>
    <t>Sauder Barrister Bookcases</t>
  </si>
  <si>
    <t>Sauder Cornerstone Collection Library</t>
  </si>
  <si>
    <t>Sauder Facets Collection Library, Sky Alder Finish</t>
  </si>
  <si>
    <t>Sauder Inglewood Library Bookcases</t>
  </si>
  <si>
    <t>Self-Adhesive Address Labels for Typewriters by Universal</t>
  </si>
  <si>
    <t>Self-Adhesive Removable Labels</t>
  </si>
  <si>
    <t>Seth Thomas 14" Putty-Colored Wall Clock</t>
  </si>
  <si>
    <t>Seth Thomas 16" Steel Case Clock</t>
  </si>
  <si>
    <t>ShoreTel ShorePhone IP 230 VoIP phone</t>
  </si>
  <si>
    <t>SimpliFile Personal File, Black Granite, 15w x 6-15/16d x 11-1/4h</t>
  </si>
  <si>
    <t>Situations Contoured Folding Chairs, 4/Set</t>
  </si>
  <si>
    <t>SmartStand Mobile Device Holder, Assorted Colors</t>
  </si>
  <si>
    <t>Snap-A-Way Black Print Carbonless Ruled Speed Letter, Triplicate</t>
  </si>
  <si>
    <t>Sony 32GB Class 10 Micro SDHC R40 Memory Card</t>
  </si>
  <si>
    <t>Sony 64GB Class 10 Micro SDHC R40 Memory Card</t>
  </si>
  <si>
    <t>Sony Micro Vault Click 8 GB USB 2.0 Flash Drive</t>
  </si>
  <si>
    <t>Southworth 100% Résumé Paper, 24lb.</t>
  </si>
  <si>
    <t>Southworth 25% Cotton Antique Laid Paper &amp; Envelopes</t>
  </si>
  <si>
    <t>Southworth 25% Cotton Granite Paper &amp; Envelopes</t>
  </si>
  <si>
    <t>Southworth 25% Cotton Linen-Finish Paper &amp; Envelopes</t>
  </si>
  <si>
    <t>Southworth Structures Collection</t>
  </si>
  <si>
    <t>SpineVue Locking Slant-D Ring Binders by Cardinal</t>
  </si>
  <si>
    <t>Square Credit Card Reader</t>
  </si>
  <si>
    <t>Stackable Trays</t>
  </si>
  <si>
    <t>Stanley Bostitch Contemporary Electric Pencil Sharpeners</t>
  </si>
  <si>
    <t>Staple envelope</t>
  </si>
  <si>
    <t>Staple holder</t>
  </si>
  <si>
    <t>Staple remover</t>
  </si>
  <si>
    <t>Staple-based wall hangings</t>
  </si>
  <si>
    <t>Staple-on labels</t>
  </si>
  <si>
    <t>Staples</t>
  </si>
  <si>
    <t>Staples in misc. colors</t>
  </si>
  <si>
    <t>Sterilite Officeware Hinged File Box</t>
  </si>
  <si>
    <t>Stockwell Gold Paper Clips</t>
  </si>
  <si>
    <t>Storex Dura Pro Binders</t>
  </si>
  <si>
    <t>Strathmore #10 Envelopes, Ultimate White</t>
  </si>
  <si>
    <t>Stur-D-Stor Shelving, Vertical 5-Shelf: 72"H x 36"W x 18 1/2"D</t>
  </si>
  <si>
    <t>Super Decoflex Portable Personal File</t>
  </si>
  <si>
    <t>Telephone Message Books with Fax/Mobile Section, 5 1/2" x 3 3/16"</t>
  </si>
  <si>
    <t>Telescoping Adjustable Floor Lamp</t>
  </si>
  <si>
    <t>Tenex "The Solids" Textured Chair Mats</t>
  </si>
  <si>
    <t>Tenex Chairmats For Use With Carpeted Floors</t>
  </si>
  <si>
    <t>Tenex File Box, Personal Filing Tote with Lid, Black</t>
  </si>
  <si>
    <t>Tenex Personal Filing Tote With Secure Closure Lid, Black/Frost</t>
  </si>
  <si>
    <t>Tennsco Lockers, Gray</t>
  </si>
  <si>
    <t>Tennsco Regal Shelving Units</t>
  </si>
  <si>
    <t>Tensor Computer Mounted Lamp</t>
  </si>
  <si>
    <t>Things To Do Today Pad</t>
  </si>
  <si>
    <t>Things To Do Today Spiral Book</t>
  </si>
  <si>
    <t>Tops Green Bar Computer Printout Paper</t>
  </si>
  <si>
    <t>TOPS Voice Message Log Book, Flash Format</t>
  </si>
  <si>
    <t>Trav-L-File Heavy-Duty Shuttle II, Black</t>
  </si>
  <si>
    <t>Trimflex Flexible Post Binders</t>
  </si>
  <si>
    <t>Tripp Lite Isotel 8 Ultra 8 Outlet Metal Surge</t>
  </si>
  <si>
    <t>Tuff Stuff Recycled Round Ring Binders</t>
  </si>
  <si>
    <t>Tuf-Vin Binders</t>
  </si>
  <si>
    <t>Turquoise Lead Holder with Pocket Clip</t>
  </si>
  <si>
    <t>Tyvek  Top-Opening Peel &amp; Seel  Envelopes, Gray</t>
  </si>
  <si>
    <t>Ultra Door Kickplate, 8"H x 34"W</t>
  </si>
  <si>
    <t>Universal Premium White Copier/Laser Paper (20Lb. and 87 Bright)</t>
  </si>
  <si>
    <t>Verbatim 25 GB 6x Blu-ray Single Layer Recordable Disc, 25/Pack</t>
  </si>
  <si>
    <t>Verbatim 25 GB 6x Blu-ray Single Layer Recordable Disc, 3/Pack</t>
  </si>
  <si>
    <t>Vinyl Sectional Post Binders</t>
  </si>
  <si>
    <t>Wausau Papers Astrobrights Colored Envelopes</t>
  </si>
  <si>
    <t>WD My Passport Ultra 2TB Portable External Hard Drive</t>
  </si>
  <si>
    <t>Westinghouse Clip-On Gooseneck Lamps</t>
  </si>
  <si>
    <t>Westinghouse Floor Lamp with Metal Mesh Shade, Black</t>
  </si>
  <si>
    <t>Westinghouse Mesh Shade Clip-On Gooseneck Lamp, Black</t>
  </si>
  <si>
    <t>Weyerhaeuser First Choice Laser/Copy Paper (20Lb. and 88 Bright)</t>
  </si>
  <si>
    <t>While You Were Out Pads, 50 per Pad, 4 x 5 1/4, Green Cycle</t>
  </si>
  <si>
    <t>White Computer Printout Paper by Universal</t>
  </si>
  <si>
    <t>Wilson Jones “Snap” Scratch Pad Binder Tool for Ring Binders</t>
  </si>
  <si>
    <t>Wilson Jones 1" Hanging DublLock Ring Binders</t>
  </si>
  <si>
    <t>Wilson Jones Active Use Binders</t>
  </si>
  <si>
    <t>Wilson Jones Century Plastic Molded Ring Binders</t>
  </si>
  <si>
    <t>Wilson Jones Custom Binder Spines &amp; Labels</t>
  </si>
  <si>
    <t>Wilson Jones data.warehouse D-Ring Binders with DublLock</t>
  </si>
  <si>
    <t>Wilson Jones DublLock D-Ring Binders</t>
  </si>
  <si>
    <t>Wilson Jones Easy Flow II Sheet Lifters</t>
  </si>
  <si>
    <t>Wilson Jones Hanging Recycled Pressboard Data Binders</t>
  </si>
  <si>
    <t>Wilson Jones Impact Binders</t>
  </si>
  <si>
    <t>Wilson Jones International Size A4 Ring Binders</t>
  </si>
  <si>
    <t>Wilson SignalBoost 841262 DB PRO Amplifier Kit</t>
  </si>
  <si>
    <t>Wirebound Message Books, 2 7/8" x 5", 3 Forms per Page</t>
  </si>
  <si>
    <t>Wirebound Message Books, Four 2 3/4 x 5 White Forms per Page</t>
  </si>
  <si>
    <t>Wirebound Message Books, Two 4 1/4" x 5" Forms per Page</t>
  </si>
  <si>
    <t>Wirebound Service Call Books, 5 1/2" x 4"</t>
  </si>
  <si>
    <t>Woodgrain Magazine Files by Perma</t>
  </si>
  <si>
    <t>Xerox 188</t>
  </si>
  <si>
    <t>Xerox 1881</t>
  </si>
  <si>
    <t>Xerox 1883</t>
  </si>
  <si>
    <t>Xerox 1884</t>
  </si>
  <si>
    <t>Xerox 1887</t>
  </si>
  <si>
    <t>Xerox 1888</t>
  </si>
  <si>
    <t>Xerox 1894</t>
  </si>
  <si>
    <t>Xerox 1895</t>
  </si>
  <si>
    <t>Xerox 1896</t>
  </si>
  <si>
    <t>Xerox 1897</t>
  </si>
  <si>
    <t>Xerox 1908</t>
  </si>
  <si>
    <t>Xerox 1909</t>
  </si>
  <si>
    <t>Xerox 191</t>
  </si>
  <si>
    <t>Xerox 1912</t>
  </si>
  <si>
    <t>Xerox 1913</t>
  </si>
  <si>
    <t>Xerox 1920</t>
  </si>
  <si>
    <t>Xerox 1921</t>
  </si>
  <si>
    <t>Xerox 1930</t>
  </si>
  <si>
    <t>Xerox 1931</t>
  </si>
  <si>
    <t>Xerox 1934</t>
  </si>
  <si>
    <t>Xerox 1940</t>
  </si>
  <si>
    <t>Xerox 1943</t>
  </si>
  <si>
    <t>Xerox 195</t>
  </si>
  <si>
    <t>Xerox 1950</t>
  </si>
  <si>
    <t>Xerox 1951</t>
  </si>
  <si>
    <t>Xerox 1957</t>
  </si>
  <si>
    <t>Xerox 1959</t>
  </si>
  <si>
    <t>Xerox 1960</t>
  </si>
  <si>
    <t>Xerox 1964</t>
  </si>
  <si>
    <t>Xerox 1965</t>
  </si>
  <si>
    <t>Xerox 1967</t>
  </si>
  <si>
    <t>Xerox 1972</t>
  </si>
  <si>
    <t>Xerox 1974</t>
  </si>
  <si>
    <t>Xerox 1980</t>
  </si>
  <si>
    <t>Xerox 1982</t>
  </si>
  <si>
    <t>Xerox 1984</t>
  </si>
  <si>
    <t>Xerox 1985</t>
  </si>
  <si>
    <t>Xerox 1989</t>
  </si>
  <si>
    <t>Xerox 1997</t>
  </si>
  <si>
    <t>Xerox 1999</t>
  </si>
  <si>
    <t>Xerox 2</t>
  </si>
  <si>
    <t>Xerox 202</t>
  </si>
  <si>
    <t>Xerox 203</t>
  </si>
  <si>
    <t>Xerox 205</t>
  </si>
  <si>
    <t>Xerox 211</t>
  </si>
  <si>
    <t>Xerox 213</t>
  </si>
  <si>
    <t>Xerox 214</t>
  </si>
  <si>
    <t>Xerox 217</t>
  </si>
  <si>
    <t>Xerox 218</t>
  </si>
  <si>
    <t>Xerox 219</t>
  </si>
  <si>
    <t>Xerox 220</t>
  </si>
  <si>
    <t>Xerox 221</t>
  </si>
  <si>
    <t>Xerox 4200 Series MultiUse Premium Copy Paper (20Lb. and 84 Bright)</t>
  </si>
  <si>
    <t>Xerox Color Copier Paper, 11" x 17", Ream</t>
  </si>
  <si>
    <t>XtraLife ClearVue Slant-D Ring Binder, White, 3"</t>
  </si>
  <si>
    <t>XtraLife ClearVue Slant-D Ring Binders by Cardinal</t>
  </si>
  <si>
    <t>Zebra Zazzle Fluorescent Highlighters</t>
  </si>
  <si>
    <t>Zipper Ring Binder Pockets</t>
  </si>
  <si>
    <t>Sales By sub Category</t>
  </si>
  <si>
    <t xml:space="preserve">Max </t>
  </si>
  <si>
    <t>First Class</t>
  </si>
  <si>
    <t>Same Day</t>
  </si>
  <si>
    <t>Second Class</t>
  </si>
  <si>
    <t>Standard Class</t>
  </si>
  <si>
    <t>Sales By Ship Mode</t>
  </si>
  <si>
    <t>Top 10 Product By Sales</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</si>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</sst>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 &quot;₹&quot;\ * #,##0.00_ ;_ &quot;₹&quot;\ * \-#,##0.00_ ;_ &quot;₹&quot;\ * &quot;-&quot;??_ ;_ @_ "/>
    <numFmt numFmtId="43" formatCode="_ * #,##0.00_ ;_ * \-#,##0.00_ ;_ * &quot;-&quot;??_ ;_ @_ "/>
    <numFmt numFmtId="164" formatCode="_ [$₹-4009]\ * #,##0.00_ ;_ [$₹-4009]\ * \-#,##0.00_ ;_ [$₹-4009]\ * &quot;-&quot;??_ ;_ @_ "/>
    <numFmt numFmtId="165" formatCode="_-[$$-409]* #,##0.00_ ;_-[$$-409]* \-#,##0.00\ ;_-[$$-409]* &quot;-&quot;??_ ;_-@_ "/>
    <numFmt numFmtId="166" formatCode="0.0"/>
    <numFmt numFmtId="167" formatCode="_-[$$-409]* #,##0_ ;_-[$$-409]* \-#,##0\ ;_-[$$-409]* &quot;-&quot;??_ ;_-@_ "/>
    <numFmt numFmtId="168" formatCode="_ * #,##0_ ;_ * \-#,##0_ ;_ * &quot;-&quot;??_ ;_ @_ "/>
    <numFmt numFmtId="169" formatCode="_ [$₹-4009]\ * #,##0_ ;_ [$₹-4009]\ * \-#,##0_ ;_ [$₹-4009]\ * &quot;-&quot;??_ ;_ @_ "/>
    <numFmt numFmtId="170" formatCode="&quot;₹&quot;\ #,##0"/>
  </numFmts>
  <fonts count="5" x14ac:knownFonts="1">
    <font>
      <sz val="11"/>
      <color theme="1"/>
      <name val="Aptos Narrow"/>
      <family val="2"/>
      <scheme val="minor"/>
    </font>
    <font>
      <b/>
      <sz val="11"/>
      <color theme="0"/>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rgb="FF002060"/>
        <bgColor indexed="64"/>
      </patternFill>
    </fill>
    <fill>
      <patternFill patternType="solid">
        <fgColor theme="3" tint="9.9978637043366805E-2"/>
        <bgColor indexed="64"/>
      </patternFill>
    </fill>
    <fill>
      <patternFill patternType="solid">
        <fgColor theme="3" tint="0.249977111117893"/>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43" fontId="2" fillId="0" borderId="0" applyFont="0" applyFill="0" applyBorder="0" applyAlignment="0" applyProtection="0"/>
  </cellStyleXfs>
  <cellXfs count="2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44" fontId="0" fillId="0" borderId="0" xfId="1" applyFont="1"/>
    <xf numFmtId="44" fontId="0" fillId="0" borderId="0" xfId="0" applyNumberFormat="1"/>
    <xf numFmtId="0" fontId="3" fillId="0" borderId="0" xfId="0" applyFont="1"/>
    <xf numFmtId="1" fontId="0" fillId="0" borderId="0" xfId="0" applyNumberFormat="1"/>
    <xf numFmtId="166" fontId="0" fillId="0" borderId="0" xfId="0" applyNumberFormat="1"/>
    <xf numFmtId="167" fontId="0" fillId="0" borderId="0" xfId="0" applyNumberFormat="1"/>
    <xf numFmtId="0" fontId="1" fillId="5" borderId="1" xfId="0" applyFont="1" applyFill="1" applyBorder="1"/>
    <xf numFmtId="168" fontId="0" fillId="0" borderId="0" xfId="2" applyNumberFormat="1" applyFont="1"/>
    <xf numFmtId="169" fontId="0" fillId="0" borderId="0" xfId="2" applyNumberFormat="1" applyFont="1"/>
    <xf numFmtId="170" fontId="0" fillId="0" borderId="0" xfId="0" applyNumberFormat="1"/>
    <xf numFmtId="0" fontId="1" fillId="4" borderId="0" xfId="0" applyFont="1" applyFill="1" applyAlignment="1">
      <alignment horizontal="center"/>
    </xf>
    <xf numFmtId="0" fontId="4" fillId="4" borderId="0" xfId="0" applyFont="1" applyFill="1" applyAlignment="1">
      <alignment horizontal="center"/>
    </xf>
    <xf numFmtId="0" fontId="0" fillId="4" borderId="0" xfId="0" applyFill="1" applyAlignment="1">
      <alignment horizontal="center"/>
    </xf>
    <xf numFmtId="0" fontId="1" fillId="2" borderId="0" xfId="0" applyFont="1" applyFill="1" applyAlignment="1">
      <alignment horizontal="center"/>
    </xf>
    <xf numFmtId="0" fontId="1" fillId="3" borderId="0" xfId="0" applyFont="1" applyFill="1" applyAlignment="1">
      <alignment horizontal="center"/>
    </xf>
  </cellXfs>
  <cellStyles count="3">
    <cellStyle name="Comma" xfId="2" builtinId="3"/>
    <cellStyle name="Currency" xfId="1" builtinId="4"/>
    <cellStyle name="Normal" xfId="0" builtinId="0"/>
  </cellStyles>
  <dxfs count="38">
    <dxf>
      <numFmt numFmtId="170" formatCode="&quot;₹&quot;\ #,##0"/>
    </dxf>
    <dxf>
      <numFmt numFmtId="167" formatCode="_-[$$-409]* #,##0_ ;_-[$$-409]* \-#,##0\ ;_-[$$-409]* &quot;-&quot;??_ ;_-@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numFmt numFmtId="165" formatCode="_-[$$-409]* #,##0.00_ ;_-[$$-409]* \-#,##0.00\ ;_-[$$-409]* &quot;-&quot;??_ ;_-@_ "/>
    </dxf>
    <dxf>
      <numFmt numFmtId="164" formatCode="_ [$₹-4009]\ * #,##0.00_ ;_ [$₹-4009]\ * \-#,##0.00_ ;_ [$₹-4009]\ * &quot;-&quot;??_ ;_ @_ "/>
    </dxf>
    <dxf>
      <numFmt numFmtId="34" formatCode="_ &quot;₹&quot;\ * #,##0.00_ ;_ &quot;₹&quot;\ * \-#,##0.00_ ;_ &quot;₹&quot;\ * &quot;-&quot;??_ ;_ @_ "/>
    </dxf>
    <dxf>
      <numFmt numFmtId="165" formatCode="_-[$$-409]* #,##0.00_ ;_-[$$-409]* \-#,##0.00\ ;_-[$$-409]* &quot;-&quot;??_ ;_-@_ "/>
    </dxf>
    <dxf>
      <numFmt numFmtId="170" formatCode="&quot;₹&quot;\ #,##0"/>
    </dxf>
    <dxf>
      <numFmt numFmtId="171" formatCode="_-[$$-409]* #,##0.0_ ;_-[$$-409]* \-#,##0.0\ ;_-[$$-409]* &quot;-&quot;??_ ;_-@_ "/>
    </dxf>
    <dxf>
      <numFmt numFmtId="34" formatCode="_ &quot;₹&quot;\ * #,##0.00_ ;_ &quot;₹&quot;\ * \-#,##0.00_ ;_ &quot;₹&quot;\ * &quot;-&quot;??_ ;_ @_ "/>
    </dxf>
    <dxf>
      <numFmt numFmtId="34" formatCode="_ &quot;₹&quot;\ * #,##0.00_ ;_ &quot;₹&quot;\ * \-#,##0.00_ ;_ &quot;₹&quot;\ * &quot;-&quot;??_ ;_ @_ "/>
    </dxf>
    <dxf>
      <numFmt numFmtId="165" formatCode="_-[$$-409]* #,##0.00_ ;_-[$$-409]* \-#,##0.00\ ;_-[$$-409]* &quot;-&quot;??_ ;_-@_ "/>
    </dxf>
    <dxf>
      <numFmt numFmtId="164" formatCode="_ [$₹-4009]\ * #,##0.00_ ;_ [$₹-4009]\ * \-#,##0.00_ ;_ [$₹-4009]\ * &quot;-&quot;??_ ;_ @_ "/>
    </dxf>
    <dxf>
      <numFmt numFmtId="170" formatCode="&quot;₹&quot;\ #,##0"/>
    </dxf>
    <dxf>
      <numFmt numFmtId="34" formatCode="_ &quot;₹&quot;\ * #,##0.00_ ;_ &quot;₹&quot;\ * \-#,##0.00_ ;_ &quot;₹&quot;\ * &quot;-&quot;??_ ;_ @_ "/>
    </dxf>
    <dxf>
      <numFmt numFmtId="164" formatCode="_ [$₹-4009]\ * #,##0.00_ ;_ [$₹-4009]\ * \-#,##0.00_ ;_ [$₹-4009]\ * &quot;-&quot;??_ ;_ @_ "/>
    </dxf>
    <dxf>
      <numFmt numFmtId="170" formatCode="&quot;₹&quot;\ #,##0"/>
    </dxf>
    <dxf>
      <numFmt numFmtId="34" formatCode="_ &quot;₹&quot;\ * #,##0.00_ ;_ &quot;₹&quot;\ * \-#,##0.00_ ;_ &quot;₹&quot;\ * &quot;-&quot;??_ ;_ @_ "/>
    </dxf>
    <dxf>
      <numFmt numFmtId="170" formatCode="&quot;₹&quot;\ #,##0"/>
    </dxf>
    <dxf>
      <numFmt numFmtId="168" formatCode="_ * #,##0_ ;_ * \-#,##0_ ;_ * &quot;-&quot;??_ ;_ @_ "/>
    </dxf>
    <dxf>
      <numFmt numFmtId="168" formatCode="_ * #,##0_ ;_ * \-#,##0_ ;_ * &quot;-&quot;??_ ;_ @_ "/>
    </dxf>
    <dxf>
      <numFmt numFmtId="167" formatCode="_-[$$-409]* #,##0_ ;_-[$$-409]* \-#,##0\ ;_-[$$-409]* &quot;-&quot;??_ ;_-@_ "/>
    </dxf>
    <dxf>
      <numFmt numFmtId="34" formatCode="_ &quot;₹&quot;\ * #,##0.00_ ;_ &quot;₹&quot;\ * \-#,##0.00_ ;_ &quot;₹&quot;\ * &quot;-&quot;??_ ;_ @_ "/>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patternType="solid">
          <bgColor theme="2" tint="-9.9948118533890809E-2"/>
        </patternFill>
      </fill>
      <border diagonalUp="0" diagonalDown="0">
        <left/>
        <right/>
        <top/>
        <bottom/>
        <vertical/>
        <horizontal/>
      </border>
    </dxf>
    <dxf>
      <font>
        <b/>
        <color theme="1"/>
      </font>
      <border>
        <bottom style="thin">
          <color theme="4"/>
        </bottom>
        <vertical/>
        <horizontal/>
      </border>
    </dxf>
    <dxf>
      <font>
        <color theme="1"/>
      </font>
      <fill>
        <patternFill patternType="solid">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border diagonalUp="0" diagonalDown="0">
        <left/>
        <right/>
        <top/>
        <bottom/>
        <vertical/>
        <horizontal/>
      </border>
    </dxf>
  </dxfs>
  <tableStyles count="7" defaultTableStyle="TableStyleMedium2" defaultPivotStyle="PivotStyleLight16">
    <tableStyle name="Slicer Style 1" pivot="0" table="0" count="1" xr9:uid="{AE22464C-9AA4-417D-973D-643F8E5B3509}">
      <tableStyleElement type="wholeTable" dxfId="37"/>
    </tableStyle>
    <tableStyle name="SlicerStyleLight1 2" pivot="0" table="0" count="10" xr9:uid="{DA2D101B-71CB-4CB9-9FD5-95CE99A0DAE5}">
      <tableStyleElement type="wholeTable" dxfId="36"/>
      <tableStyleElement type="headerRow" dxfId="35"/>
    </tableStyle>
    <tableStyle name="SlicerStyleLight1 2 2" pivot="0" table="0" count="10" xr9:uid="{A02202EB-3368-49DD-96E2-9615AE1DE6EE}">
      <tableStyleElement type="wholeTable" dxfId="34"/>
      <tableStyleElement type="headerRow" dxfId="33"/>
    </tableStyle>
    <tableStyle name="SlicerStyleLight1 2 2 2" pivot="0" table="0" count="10" xr9:uid="{E293EA10-13F5-4E96-AE62-8CD80E10F7D7}">
      <tableStyleElement type="wholeTable" dxfId="32"/>
      <tableStyleElement type="headerRow" dxfId="31"/>
    </tableStyle>
    <tableStyle name="SlicerStyleLight1 2 3" pivot="0" table="0" count="10" xr9:uid="{79CE5F03-3D75-48B8-83A7-9F70D95C6D2C}">
      <tableStyleElement type="wholeTable" dxfId="30"/>
      <tableStyleElement type="headerRow" dxfId="29"/>
    </tableStyle>
    <tableStyle name="SlicerStyleLight1 3" pivot="0" table="0" count="10" xr9:uid="{48C9EA57-5CA6-448C-A5D8-B204750E5C7E}">
      <tableStyleElement type="wholeTable" dxfId="28"/>
      <tableStyleElement type="headerRow" dxfId="27"/>
    </tableStyle>
    <tableStyle name="SlicerStyleLight1 3 2" pivot="0" table="0" count="10" xr9:uid="{4A15045C-85DC-4E38-BBC5-EE720B31A271}">
      <tableStyleElement type="wholeTable" dxfId="26"/>
      <tableStyleElement type="headerRow" dxfId="25"/>
    </tableStyle>
  </tableStyles>
  <colors>
    <mruColors>
      <color rgb="FF990000"/>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5" Type="http://schemas.openxmlformats.org/officeDocument/2006/relationships/customXml" Target="../customXml/item1.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04245101874544E-2"/>
          <c:y val="9.1510083949955297E-3"/>
          <c:w val="0.74892167665014509"/>
          <c:h val="0.9908489916050045"/>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5B-4B1C-962E-750B6A899EBD}"/>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A65B-4B1C-962E-750B6A899E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5B-4B1C-962E-750B6A899E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5B-4B1C-962E-750B6A899EBD}"/>
              </c:ext>
            </c:extLst>
          </c:dPt>
          <c:dLbls>
            <c:dLbl>
              <c:idx val="0"/>
              <c:layout>
                <c:manualLayout>
                  <c:x val="-0.24955309661392541"/>
                  <c:y val="0.2014213019484319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6858918065399976"/>
                      <c:h val="0.22939260842537487"/>
                    </c:manualLayout>
                  </c15:layout>
                </c:ext>
                <c:ext xmlns:c16="http://schemas.microsoft.com/office/drawing/2014/chart" uri="{C3380CC4-5D6E-409C-BE32-E72D297353CC}">
                  <c16:uniqueId val="{00000001-A65B-4B1C-962E-750B6A899EBD}"/>
                </c:ext>
              </c:extLst>
            </c:dLbl>
            <c:dLbl>
              <c:idx val="1"/>
              <c:layout>
                <c:manualLayout>
                  <c:x val="-0.27746196624876746"/>
                  <c:y val="-0.15275028681652567"/>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5434013572803671"/>
                      <c:h val="8.7754219330512528E-2"/>
                    </c:manualLayout>
                  </c15:layout>
                </c:ext>
                <c:ext xmlns:c16="http://schemas.microsoft.com/office/drawing/2014/chart" uri="{C3380CC4-5D6E-409C-BE32-E72D297353CC}">
                  <c16:uniqueId val="{00000003-A65B-4B1C-962E-750B6A899EBD}"/>
                </c:ext>
              </c:extLst>
            </c:dLbl>
            <c:dLbl>
              <c:idx val="2"/>
              <c:dLblPos val="bestFit"/>
              <c:showLegendKey val="0"/>
              <c:showVal val="1"/>
              <c:showCatName val="0"/>
              <c:showSerName val="0"/>
              <c:showPercent val="0"/>
              <c:showBubbleSize val="0"/>
              <c:extLst>
                <c:ext xmlns:c15="http://schemas.microsoft.com/office/drawing/2012/chart" uri="{CE6537A1-D6FC-4f65-9D91-7224C49458BB}">
                  <c15:layout>
                    <c:manualLayout>
                      <c:w val="0.29106304302566771"/>
                      <c:h val="8.3135576207853973E-2"/>
                    </c:manualLayout>
                  </c15:layout>
                </c:ext>
                <c:ext xmlns:c16="http://schemas.microsoft.com/office/drawing/2014/chart" uri="{C3380CC4-5D6E-409C-BE32-E72D297353CC}">
                  <c16:uniqueId val="{00000005-A65B-4B1C-962E-750B6A899EBD}"/>
                </c:ext>
              </c:extLst>
            </c:dLbl>
            <c:dLbl>
              <c:idx val="3"/>
              <c:layout>
                <c:manualLayout>
                  <c:x val="0.12370014215767938"/>
                  <c:y val="0.2361930772805694"/>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562261231490754"/>
                      <c:h val="0.22477396530271629"/>
                    </c:manualLayout>
                  </c15:layout>
                </c:ext>
                <c:ext xmlns:c16="http://schemas.microsoft.com/office/drawing/2014/chart" uri="{C3380CC4-5D6E-409C-BE32-E72D297353CC}">
                  <c16:uniqueId val="{00000007-A65B-4B1C-962E-750B6A899EB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'Sample - Superstore'!$N$17:$N$20</c:f>
              <c:strCache>
                <c:ptCount val="4"/>
                <c:pt idx="0">
                  <c:v>South</c:v>
                </c:pt>
                <c:pt idx="1">
                  <c:v>Central</c:v>
                </c:pt>
                <c:pt idx="2">
                  <c:v>West</c:v>
                </c:pt>
                <c:pt idx="3">
                  <c:v>East</c:v>
                </c:pt>
              </c:strCache>
            </c:strRef>
          </c:cat>
          <c:val>
            <c:numRef>
              <c:f>'Sample - Superstore'!$O$17:$O$20</c:f>
              <c:numCache>
                <c:formatCode>"₹"\ #,##0</c:formatCode>
                <c:ptCount val="4"/>
                <c:pt idx="0">
                  <c:v>34507.072000000007</c:v>
                </c:pt>
                <c:pt idx="1">
                  <c:v>40825.438799999989</c:v>
                </c:pt>
                <c:pt idx="2">
                  <c:v>42225.006999999954</c:v>
                </c:pt>
                <c:pt idx="3">
                  <c:v>50894.335999999981</c:v>
                </c:pt>
              </c:numCache>
            </c:numRef>
          </c:val>
          <c:extLst>
            <c:ext xmlns:c16="http://schemas.microsoft.com/office/drawing/2014/chart" uri="{C3380CC4-5D6E-409C-BE32-E72D297353CC}">
              <c16:uniqueId val="{00000008-A65B-4B1C-962E-750B6A899EBD}"/>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A-A65B-4B1C-962E-750B6A899E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A65B-4B1C-962E-750B6A899E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A65B-4B1C-962E-750B6A899E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A65B-4B1C-962E-750B6A899EBD}"/>
              </c:ext>
            </c:extLst>
          </c:dPt>
          <c:cat>
            <c:strRef>
              <c:f>'Sample - Superstore'!$N$17:$N$20</c:f>
              <c:strCache>
                <c:ptCount val="4"/>
                <c:pt idx="0">
                  <c:v>South</c:v>
                </c:pt>
                <c:pt idx="1">
                  <c:v>Central</c:v>
                </c:pt>
                <c:pt idx="2">
                  <c:v>West</c:v>
                </c:pt>
                <c:pt idx="3">
                  <c:v>East</c:v>
                </c:pt>
              </c:strCache>
            </c:strRef>
          </c:cat>
          <c:val>
            <c:numRef>
              <c:f>'Sample - Superstore'!$P$17:$P$20</c:f>
              <c:numCache>
                <c:formatCode>0</c:formatCode>
                <c:ptCount val="4"/>
                <c:pt idx="0">
                  <c:v>0</c:v>
                </c:pt>
                <c:pt idx="1">
                  <c:v>0</c:v>
                </c:pt>
                <c:pt idx="2">
                  <c:v>0</c:v>
                </c:pt>
                <c:pt idx="3">
                  <c:v>0</c:v>
                </c:pt>
              </c:numCache>
            </c:numRef>
          </c:val>
          <c:extLst>
            <c:ext xmlns:c16="http://schemas.microsoft.com/office/drawing/2014/chart" uri="{C3380CC4-5D6E-409C-BE32-E72D297353CC}">
              <c16:uniqueId val="{00000011-A65B-4B1C-962E-750B6A899EBD}"/>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2554234916789571"/>
          <c:y val="0.12285276992438195"/>
          <c:w val="0.17445765083210435"/>
          <c:h val="0.79617469318395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310228818850348E-2"/>
          <c:y val="0"/>
          <c:w val="0.59433591264791963"/>
          <c:h val="1"/>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'Sample - Superstore'!$D$17:$D$19</c:f>
              <c:strCache>
                <c:ptCount val="3"/>
                <c:pt idx="0">
                  <c:v>Furniture</c:v>
                </c:pt>
                <c:pt idx="1">
                  <c:v>Office Supplies</c:v>
                </c:pt>
                <c:pt idx="2">
                  <c:v>Technology</c:v>
                </c:pt>
              </c:strCache>
            </c:strRef>
          </c:cat>
          <c:val>
            <c:numRef>
              <c:f>'Sample - Superstore'!$E$17:$E$19</c:f>
              <c:numCache>
                <c:formatCode>_("₹"* #,##0.00_);_("₹"* \(#,##0.00\);_("₹"* "-"??_);_(@_)</c:formatCode>
                <c:ptCount val="3"/>
                <c:pt idx="0">
                  <c:v>53148.097799999952</c:v>
                </c:pt>
                <c:pt idx="1">
                  <c:v>45556.806999999979</c:v>
                </c:pt>
                <c:pt idx="2">
                  <c:v>69746.948999999993</c:v>
                </c:pt>
              </c:numCache>
            </c:numRef>
          </c:val>
          <c:extLst>
            <c:ext xmlns:c16="http://schemas.microsoft.com/office/drawing/2014/chart" uri="{C3380CC4-5D6E-409C-BE32-E72D297353CC}">
              <c16:uniqueId val="{00000000-72C2-4BF4-9B22-9AE54860158A}"/>
            </c:ext>
          </c:extLst>
        </c:ser>
        <c:ser>
          <c:idx val="1"/>
          <c:order val="1"/>
          <c:spPr>
            <a:solidFill>
              <a:srgbClr val="C00000"/>
            </a:solidFill>
            <a:ln>
              <a:noFill/>
            </a:ln>
            <a:effectLst/>
          </c:spPr>
          <c:invertIfNegative val="0"/>
          <c:dLbls>
            <c:dLbl>
              <c:idx val="0"/>
              <c:layout>
                <c:manualLayout>
                  <c:x val="-0.18992248062015507"/>
                  <c:y val="-5.62113546936491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C2-4BF4-9B22-9AE54860158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'Sample - Superstore'!$D$17:$D$19</c:f>
              <c:strCache>
                <c:ptCount val="3"/>
                <c:pt idx="0">
                  <c:v>Furniture</c:v>
                </c:pt>
                <c:pt idx="1">
                  <c:v>Office Supplies</c:v>
                </c:pt>
                <c:pt idx="2">
                  <c:v>Technology</c:v>
                </c:pt>
              </c:strCache>
            </c:strRef>
          </c:cat>
          <c:val>
            <c:numRef>
              <c:f>'Sample - Superstore'!$F$17:$F$19</c:f>
              <c:numCache>
                <c:formatCode>_("₹"* #,##0.00_);_("₹"* \(#,##0.00\);_("₹"* "-"??_);_(@_)</c:formatCode>
                <c:ptCount val="3"/>
                <c:pt idx="0">
                  <c:v>-321.63159999999948</c:v>
                </c:pt>
                <c:pt idx="1">
                  <c:v>7283.0047000000022</c:v>
                </c:pt>
                <c:pt idx="2">
                  <c:v>7673.3624999999965</c:v>
                </c:pt>
              </c:numCache>
            </c:numRef>
          </c:val>
          <c:extLst>
            <c:ext xmlns:c16="http://schemas.microsoft.com/office/drawing/2014/chart" uri="{C3380CC4-5D6E-409C-BE32-E72D297353CC}">
              <c16:uniqueId val="{00000002-72C2-4BF4-9B22-9AE54860158A}"/>
            </c:ext>
          </c:extLst>
        </c:ser>
        <c:dLbls>
          <c:dLblPos val="outEnd"/>
          <c:showLegendKey val="0"/>
          <c:showVal val="1"/>
          <c:showCatName val="0"/>
          <c:showSerName val="0"/>
          <c:showPercent val="0"/>
          <c:showBubbleSize val="0"/>
        </c:dLbls>
        <c:gapWidth val="182"/>
        <c:axId val="511754912"/>
        <c:axId val="342053712"/>
      </c:barChart>
      <c:catAx>
        <c:axId val="51175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42053712"/>
        <c:crosses val="autoZero"/>
        <c:auto val="1"/>
        <c:lblAlgn val="ctr"/>
        <c:lblOffset val="100"/>
        <c:noMultiLvlLbl val="0"/>
      </c:catAx>
      <c:valAx>
        <c:axId val="342053712"/>
        <c:scaling>
          <c:orientation val="minMax"/>
        </c:scaling>
        <c:delete val="1"/>
        <c:axPos val="b"/>
        <c:numFmt formatCode="_(&quot;₹&quot;* #,##0.00_);_(&quot;₹&quot;* \(#,##0.00\);_(&quot;₹&quot;* &quot;-&quot;??_);_(@_)" sourceLinked="1"/>
        <c:majorTickMark val="none"/>
        <c:minorTickMark val="none"/>
        <c:tickLblPos val="nextTo"/>
        <c:crossAx val="51175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119676983559182E-2"/>
          <c:y val="3.0413628818252894E-2"/>
          <c:w val="0.80000851555481733"/>
          <c:h val="0.78288719800162054"/>
        </c:manualLayout>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6-6C55-43FB-AE54-FA7A418FC45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7-6C55-43FB-AE54-FA7A418FC452}"/>
              </c:ext>
            </c:extLst>
          </c:dPt>
          <c:dLbls>
            <c:dLbl>
              <c:idx val="0"/>
              <c:layout>
                <c:manualLayout>
                  <c:x val="-4.011348008760531E-3"/>
                  <c:y val="-6.31138379823052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C55-43FB-AE54-FA7A418FC452}"/>
                </c:ext>
              </c:extLst>
            </c:dLbl>
            <c:dLbl>
              <c:idx val="1"/>
              <c:layout>
                <c:manualLayout>
                  <c:x val="0"/>
                  <c:y val="-4.41796865876137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55-43FB-AE54-FA7A418FC452}"/>
                </c:ext>
              </c:extLst>
            </c:dLbl>
            <c:dLbl>
              <c:idx val="2"/>
              <c:layout>
                <c:manualLayout>
                  <c:x val="-8.022696017521062E-3"/>
                  <c:y val="1.89341513946915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55-43FB-AE54-FA7A418FC45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'Sample - Superstore'!$S$17:$S$19</c:f>
              <c:strCache>
                <c:ptCount val="3"/>
                <c:pt idx="0">
                  <c:v>Home Office</c:v>
                </c:pt>
                <c:pt idx="1">
                  <c:v>Corporate</c:v>
                </c:pt>
                <c:pt idx="2">
                  <c:v>Consumer</c:v>
                </c:pt>
              </c:strCache>
            </c:strRef>
          </c:cat>
          <c:val>
            <c:numRef>
              <c:f>'Sample - Superstore'!$T$17:$T$19</c:f>
              <c:numCache>
                <c:formatCode>"₹"\ #,##0</c:formatCode>
                <c:ptCount val="3"/>
                <c:pt idx="0">
                  <c:v>38998.267999999982</c:v>
                </c:pt>
                <c:pt idx="1">
                  <c:v>52094.397999999928</c:v>
                </c:pt>
                <c:pt idx="2">
                  <c:v>77359.1878</c:v>
                </c:pt>
              </c:numCache>
            </c:numRef>
          </c:val>
          <c:extLst>
            <c:ext xmlns:c16="http://schemas.microsoft.com/office/drawing/2014/chart" uri="{C3380CC4-5D6E-409C-BE32-E72D297353CC}">
              <c16:uniqueId val="{00000000-6C55-43FB-AE54-FA7A418FC452}"/>
            </c:ext>
          </c:extLst>
        </c:ser>
        <c:ser>
          <c:idx val="1"/>
          <c:order val="1"/>
          <c:tx>
            <c:strRef>
              <c:f>'Sample - Superstore'!$U$17</c:f>
              <c:strCache>
                <c:ptCount val="1"/>
                <c:pt idx="0">
                  <c:v>Max</c:v>
                </c:pt>
              </c:strCache>
            </c:strRef>
          </c:tx>
          <c:spPr>
            <a:solidFill>
              <a:schemeClr val="accent2"/>
            </a:solidFill>
            <a:ln>
              <a:noFill/>
            </a:ln>
            <a:effectLst/>
          </c:spPr>
          <c:invertIfNegative val="0"/>
          <c:val>
            <c:numRef>
              <c:f>'Sample - Superstore'!$U$18</c:f>
              <c:numCache>
                <c:formatCode>General</c:formatCode>
                <c:ptCount val="1"/>
                <c:pt idx="0">
                  <c:v>0</c:v>
                </c:pt>
              </c:numCache>
            </c:numRef>
          </c:val>
          <c:extLst>
            <c:ext xmlns:c16="http://schemas.microsoft.com/office/drawing/2014/chart" uri="{C3380CC4-5D6E-409C-BE32-E72D297353CC}">
              <c16:uniqueId val="{00000003-6C55-43FB-AE54-FA7A418FC452}"/>
            </c:ext>
          </c:extLst>
        </c:ser>
        <c:ser>
          <c:idx val="2"/>
          <c:order val="2"/>
          <c:tx>
            <c:strRef>
              <c:f>'Sample - Superstore'!$V$17</c:f>
              <c:strCache>
                <c:ptCount val="1"/>
                <c:pt idx="0">
                  <c:v>min</c:v>
                </c:pt>
              </c:strCache>
            </c:strRef>
          </c:tx>
          <c:spPr>
            <a:solidFill>
              <a:srgbClr val="C00000"/>
            </a:solidFill>
            <a:ln>
              <a:noFill/>
            </a:ln>
            <a:effectLst/>
          </c:spPr>
          <c:invertIfNegative val="0"/>
          <c:val>
            <c:numRef>
              <c:f>'Sample - Superstore'!$V$18:$V$20</c:f>
              <c:numCache>
                <c:formatCode>General</c:formatCode>
                <c:ptCount val="3"/>
                <c:pt idx="0">
                  <c:v>38998.267999999982</c:v>
                </c:pt>
                <c:pt idx="1">
                  <c:v>0</c:v>
                </c:pt>
                <c:pt idx="2">
                  <c:v>0</c:v>
                </c:pt>
              </c:numCache>
            </c:numRef>
          </c:val>
          <c:extLst>
            <c:ext xmlns:c16="http://schemas.microsoft.com/office/drawing/2014/chart" uri="{C3380CC4-5D6E-409C-BE32-E72D297353CC}">
              <c16:uniqueId val="{00000004-6C55-43FB-AE54-FA7A418FC452}"/>
            </c:ext>
          </c:extLst>
        </c:ser>
        <c:dLbls>
          <c:showLegendKey val="0"/>
          <c:showVal val="0"/>
          <c:showCatName val="0"/>
          <c:showSerName val="0"/>
          <c:showPercent val="0"/>
          <c:showBubbleSize val="0"/>
        </c:dLbls>
        <c:gapWidth val="240"/>
        <c:overlap val="100"/>
        <c:axId val="449006464"/>
        <c:axId val="389929584"/>
      </c:barChart>
      <c:catAx>
        <c:axId val="44900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89929584"/>
        <c:crosses val="autoZero"/>
        <c:auto val="1"/>
        <c:lblAlgn val="ctr"/>
        <c:lblOffset val="100"/>
        <c:noMultiLvlLbl val="0"/>
      </c:catAx>
      <c:valAx>
        <c:axId val="389929584"/>
        <c:scaling>
          <c:orientation val="minMax"/>
        </c:scaling>
        <c:delete val="1"/>
        <c:axPos val="l"/>
        <c:numFmt formatCode="&quot;₹&quot;\ #,##0" sourceLinked="1"/>
        <c:majorTickMark val="none"/>
        <c:minorTickMark val="none"/>
        <c:tickLblPos val="nextTo"/>
        <c:crossAx val="4490064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294820315095046"/>
          <c:y val="8.9221052676897075E-2"/>
          <c:w val="0.79525777839603085"/>
          <c:h val="0.70684096116941308"/>
        </c:manualLayout>
      </c:layout>
      <c:barChart>
        <c:barDir val="col"/>
        <c:grouping val="clustered"/>
        <c:varyColors val="0"/>
        <c:ser>
          <c:idx val="0"/>
          <c:order val="0"/>
          <c:spPr>
            <a:solidFill>
              <a:schemeClr val="accent2">
                <a:lumMod val="60000"/>
                <a:lumOff val="40000"/>
              </a:schemeClr>
            </a:solidFill>
            <a:ln>
              <a:noFill/>
            </a:ln>
            <a:effectLst/>
          </c:spPr>
          <c:invertIfNegative val="0"/>
          <c:dLbls>
            <c:dLbl>
              <c:idx val="3"/>
              <c:layout>
                <c:manualLayout>
                  <c:x val="-9.7896693753124939E-1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D0-47CB-948F-5117F4A3101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'Sample - Superstore'!$AC$27:$AC$30</c:f>
              <c:strCache>
                <c:ptCount val="4"/>
                <c:pt idx="0">
                  <c:v>Same Day</c:v>
                </c:pt>
                <c:pt idx="1">
                  <c:v>Second Class</c:v>
                </c:pt>
                <c:pt idx="2">
                  <c:v>First Class</c:v>
                </c:pt>
                <c:pt idx="3">
                  <c:v>Standard Class</c:v>
                </c:pt>
              </c:strCache>
            </c:strRef>
          </c:cat>
          <c:val>
            <c:numRef>
              <c:f>'Sample - Superstore'!$AD$27:$AD$30</c:f>
              <c:numCache>
                <c:formatCode>_ [$₹-4009]\ * #,##0_ ;_ [$₹-4009]\ * \-#,##0_ ;_ [$₹-4009]\ * "-"??_ ;_ @_ </c:formatCode>
                <c:ptCount val="4"/>
                <c:pt idx="0">
                  <c:v>15420.470000000003</c:v>
                </c:pt>
                <c:pt idx="1">
                  <c:v>35796.597999999969</c:v>
                </c:pt>
                <c:pt idx="2">
                  <c:v>42110.000000000015</c:v>
                </c:pt>
                <c:pt idx="3">
                  <c:v>75124.785799999911</c:v>
                </c:pt>
              </c:numCache>
            </c:numRef>
          </c:val>
          <c:extLst>
            <c:ext xmlns:c16="http://schemas.microsoft.com/office/drawing/2014/chart" uri="{C3380CC4-5D6E-409C-BE32-E72D297353CC}">
              <c16:uniqueId val="{00000000-AD5D-4F59-BB82-011E8AE17B76}"/>
            </c:ext>
          </c:extLst>
        </c:ser>
        <c:ser>
          <c:idx val="1"/>
          <c:order val="1"/>
          <c:tx>
            <c:strRef>
              <c:f>'Sample - Superstore'!$AE$26</c:f>
              <c:strCache>
                <c:ptCount val="1"/>
                <c:pt idx="0">
                  <c:v>Max</c:v>
                </c:pt>
              </c:strCache>
            </c:strRef>
          </c:tx>
          <c:spPr>
            <a:solidFill>
              <a:schemeClr val="accent3"/>
            </a:solidFill>
            <a:ln>
              <a:noFill/>
            </a:ln>
            <a:effectLst/>
          </c:spPr>
          <c:invertIfNegative val="0"/>
          <c:dPt>
            <c:idx val="3"/>
            <c:invertIfNegative val="0"/>
            <c:bubble3D val="0"/>
            <c:spPr>
              <a:solidFill>
                <a:schemeClr val="accent3"/>
              </a:solidFill>
              <a:ln>
                <a:noFill/>
              </a:ln>
              <a:effectLst/>
            </c:spPr>
            <c:extLst>
              <c:ext xmlns:c16="http://schemas.microsoft.com/office/drawing/2014/chart" uri="{C3380CC4-5D6E-409C-BE32-E72D297353CC}">
                <c16:uniqueId val="{00000000-77D0-47CB-948F-5117F4A31011}"/>
              </c:ext>
            </c:extLst>
          </c:dPt>
          <c:dLbls>
            <c:delete val="1"/>
          </c:dLbls>
          <c:val>
            <c:numRef>
              <c:f>'Sample - Superstore'!$AE$27:$AE$30</c:f>
              <c:numCache>
                <c:formatCode>General</c:formatCode>
                <c:ptCount val="4"/>
                <c:pt idx="0">
                  <c:v>0</c:v>
                </c:pt>
                <c:pt idx="1">
                  <c:v>0</c:v>
                </c:pt>
                <c:pt idx="2">
                  <c:v>0</c:v>
                </c:pt>
                <c:pt idx="3">
                  <c:v>75124.785799999911</c:v>
                </c:pt>
              </c:numCache>
            </c:numRef>
          </c:val>
          <c:extLst>
            <c:ext xmlns:c16="http://schemas.microsoft.com/office/drawing/2014/chart" uri="{C3380CC4-5D6E-409C-BE32-E72D297353CC}">
              <c16:uniqueId val="{00000002-AD5D-4F59-BB82-011E8AE17B76}"/>
            </c:ext>
          </c:extLst>
        </c:ser>
        <c:ser>
          <c:idx val="2"/>
          <c:order val="2"/>
          <c:tx>
            <c:strRef>
              <c:f>'Sample - Superstore'!$AF$26</c:f>
              <c:strCache>
                <c:ptCount val="1"/>
                <c:pt idx="0">
                  <c:v>Min</c:v>
                </c:pt>
              </c:strCache>
            </c:strRef>
          </c:tx>
          <c:spPr>
            <a:solidFill>
              <a:srgbClr val="C00000"/>
            </a:solidFill>
            <a:ln>
              <a:noFill/>
            </a:ln>
            <a:effectLst/>
          </c:spPr>
          <c:invertIfNegative val="0"/>
          <c:dLbls>
            <c:delete val="1"/>
          </c:dLbls>
          <c:val>
            <c:numRef>
              <c:f>'Sample - Superstore'!$AF$27:$AF$30</c:f>
              <c:numCache>
                <c:formatCode>General</c:formatCode>
                <c:ptCount val="4"/>
                <c:pt idx="0">
                  <c:v>15420.470000000003</c:v>
                </c:pt>
                <c:pt idx="1">
                  <c:v>0</c:v>
                </c:pt>
                <c:pt idx="2">
                  <c:v>0</c:v>
                </c:pt>
                <c:pt idx="3">
                  <c:v>0</c:v>
                </c:pt>
              </c:numCache>
            </c:numRef>
          </c:val>
          <c:extLst>
            <c:ext xmlns:c16="http://schemas.microsoft.com/office/drawing/2014/chart" uri="{C3380CC4-5D6E-409C-BE32-E72D297353CC}">
              <c16:uniqueId val="{00000003-AD5D-4F59-BB82-011E8AE17B76}"/>
            </c:ext>
          </c:extLst>
        </c:ser>
        <c:dLbls>
          <c:dLblPos val="outEnd"/>
          <c:showLegendKey val="0"/>
          <c:showVal val="1"/>
          <c:showCatName val="0"/>
          <c:showSerName val="0"/>
          <c:showPercent val="0"/>
          <c:showBubbleSize val="0"/>
        </c:dLbls>
        <c:gapWidth val="212"/>
        <c:overlap val="100"/>
        <c:axId val="511756304"/>
        <c:axId val="610915920"/>
      </c:barChart>
      <c:catAx>
        <c:axId val="51175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10915920"/>
        <c:crosses val="autoZero"/>
        <c:auto val="1"/>
        <c:lblAlgn val="ctr"/>
        <c:lblOffset val="100"/>
        <c:noMultiLvlLbl val="0"/>
      </c:catAx>
      <c:valAx>
        <c:axId val="610915920"/>
        <c:scaling>
          <c:orientation val="minMax"/>
        </c:scaling>
        <c:delete val="1"/>
        <c:axPos val="l"/>
        <c:numFmt formatCode="_ [$₹-4009]\ * #,##0_ ;_ [$₹-4009]\ * \-#,##0_ ;_ [$₹-4009]\ * &quot;-&quot;??_ ;_ @_ " sourceLinked="1"/>
        <c:majorTickMark val="none"/>
        <c:minorTickMark val="none"/>
        <c:tickLblPos val="nextTo"/>
        <c:crossAx val="51175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437191746869483E-2"/>
          <c:y val="0.24759687813216746"/>
          <c:w val="0.87557764608893018"/>
          <c:h val="0.60698479914299386"/>
        </c:manualLayout>
      </c:layout>
      <c:barChart>
        <c:barDir val="col"/>
        <c:grouping val="clustered"/>
        <c:varyColors val="0"/>
        <c:ser>
          <c:idx val="0"/>
          <c:order val="0"/>
          <c:spPr>
            <a:solidFill>
              <a:schemeClr val="accent1"/>
            </a:solidFill>
            <a:ln>
              <a:noFill/>
            </a:ln>
            <a:effectLst/>
          </c:spPr>
          <c:invertIfNegative val="0"/>
          <c:dPt>
            <c:idx val="3"/>
            <c:invertIfNegative val="0"/>
            <c:bubble3D val="0"/>
            <c:spPr>
              <a:solidFill>
                <a:schemeClr val="accent3"/>
              </a:solidFill>
              <a:ln>
                <a:noFill/>
              </a:ln>
              <a:effectLst/>
            </c:spPr>
            <c:extLst>
              <c:ext xmlns:c16="http://schemas.microsoft.com/office/drawing/2014/chart" uri="{C3380CC4-5D6E-409C-BE32-E72D297353CC}">
                <c16:uniqueId val="{00000004-ED96-4184-B325-3D515CF5FF35}"/>
              </c:ext>
            </c:extLst>
          </c:dPt>
          <c:dLbls>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'Sample - Superstore'!$W$16:$W$19</c:f>
              <c:strCache>
                <c:ptCount val="4"/>
                <c:pt idx="0">
                  <c:v>2014</c:v>
                </c:pt>
                <c:pt idx="1">
                  <c:v>2015</c:v>
                </c:pt>
                <c:pt idx="2">
                  <c:v>2016</c:v>
                </c:pt>
                <c:pt idx="3">
                  <c:v>2017</c:v>
                </c:pt>
              </c:strCache>
            </c:strRef>
          </c:cat>
          <c:val>
            <c:numRef>
              <c:f>'Sample - Superstore'!$X$16:$X$19</c:f>
              <c:numCache>
                <c:formatCode>_ * #,##0_ ;_ * \-#,##0_ ;_ * "-"??_ ;_ @_ </c:formatCode>
                <c:ptCount val="4"/>
                <c:pt idx="0">
                  <c:v>35571.861999999986</c:v>
                </c:pt>
                <c:pt idx="1">
                  <c:v>32968.452999999994</c:v>
                </c:pt>
                <c:pt idx="2">
                  <c:v>38149.873999999996</c:v>
                </c:pt>
                <c:pt idx="3">
                  <c:v>61761.664799999948</c:v>
                </c:pt>
              </c:numCache>
            </c:numRef>
          </c:val>
          <c:extLst>
            <c:ext xmlns:c16="http://schemas.microsoft.com/office/drawing/2014/chart" uri="{C3380CC4-5D6E-409C-BE32-E72D297353CC}">
              <c16:uniqueId val="{00000000-8703-464E-82BC-79D66EDE4F5F}"/>
            </c:ext>
          </c:extLst>
        </c:ser>
        <c:ser>
          <c:idx val="1"/>
          <c:order val="1"/>
          <c:tx>
            <c:strRef>
              <c:f>'Sample - Superstore'!$W$20</c:f>
              <c:strCache>
                <c:ptCount val="1"/>
                <c:pt idx="0">
                  <c:v>Max</c:v>
                </c:pt>
              </c:strCache>
            </c:strRef>
          </c:tx>
          <c:spPr>
            <a:solidFill>
              <a:schemeClr val="accent2"/>
            </a:solidFill>
            <a:ln>
              <a:noFill/>
            </a:ln>
            <a:effectLst/>
          </c:spPr>
          <c:invertIfNegative val="0"/>
          <c:dLbls>
            <c:delete val="1"/>
          </c:dLbls>
          <c:val>
            <c:numRef>
              <c:f>'Sample - Superstore'!$W$21</c:f>
              <c:numCache>
                <c:formatCode>General</c:formatCode>
                <c:ptCount val="1"/>
                <c:pt idx="0">
                  <c:v>0</c:v>
                </c:pt>
              </c:numCache>
            </c:numRef>
          </c:val>
          <c:extLst>
            <c:ext xmlns:c16="http://schemas.microsoft.com/office/drawing/2014/chart" uri="{C3380CC4-5D6E-409C-BE32-E72D297353CC}">
              <c16:uniqueId val="{00000002-ED96-4184-B325-3D515CF5FF35}"/>
            </c:ext>
          </c:extLst>
        </c:ser>
        <c:dLbls>
          <c:showLegendKey val="0"/>
          <c:showVal val="1"/>
          <c:showCatName val="0"/>
          <c:showSerName val="0"/>
          <c:showPercent val="0"/>
          <c:showBubbleSize val="0"/>
        </c:dLbls>
        <c:gapWidth val="262"/>
        <c:overlap val="100"/>
        <c:axId val="511766048"/>
        <c:axId val="25110608"/>
        <c:extLst>
          <c:ext xmlns:c15="http://schemas.microsoft.com/office/drawing/2012/chart" uri="{02D57815-91ED-43cb-92C2-25804820EDAC}">
            <c15:filteredBarSeries>
              <c15:ser>
                <c:idx val="2"/>
                <c:order val="2"/>
                <c:tx>
                  <c:strRef>
                    <c:extLst>
                      <c:ext uri="{02D57815-91ED-43cb-92C2-25804820EDAC}">
                        <c15:formulaRef>
                          <c15:sqref>'Sample - Superstore'!$X$20</c15:sqref>
                        </c15:formulaRef>
                      </c:ext>
                    </c:extLst>
                    <c:strCache>
                      <c:ptCount val="1"/>
                      <c:pt idx="0">
                        <c:v>Min</c:v>
                      </c:pt>
                    </c:strCache>
                  </c:strRef>
                </c:tx>
                <c:spPr>
                  <a:solidFill>
                    <a:srgbClr val="C00000"/>
                  </a:solidFill>
                  <a:ln>
                    <a:noFill/>
                  </a:ln>
                  <a:effectLst/>
                </c:spPr>
                <c:invertIfNegative val="0"/>
                <c:dLbls>
                  <c:delete val="1"/>
                </c:dLbls>
                <c:val>
                  <c:numRef>
                    <c:extLst>
                      <c:ext uri="{02D57815-91ED-43cb-92C2-25804820EDAC}">
                        <c15:formulaRef>
                          <c15:sqref>'Sample - Superstore'!$X$21:$X$24</c15:sqref>
                        </c15:formulaRef>
                      </c:ext>
                    </c:extLst>
                    <c:numCache>
                      <c:formatCode>General</c:formatCode>
                      <c:ptCount val="4"/>
                      <c:pt idx="0">
                        <c:v>0</c:v>
                      </c:pt>
                      <c:pt idx="1">
                        <c:v>32968.452999999994</c:v>
                      </c:pt>
                      <c:pt idx="2">
                        <c:v>0</c:v>
                      </c:pt>
                      <c:pt idx="3">
                        <c:v>0</c:v>
                      </c:pt>
                    </c:numCache>
                  </c:numRef>
                </c:val>
                <c:extLst>
                  <c:ext xmlns:c16="http://schemas.microsoft.com/office/drawing/2014/chart" uri="{C3380CC4-5D6E-409C-BE32-E72D297353CC}">
                    <c16:uniqueId val="{00000003-ED96-4184-B325-3D515CF5FF35}"/>
                  </c:ext>
                </c:extLst>
              </c15:ser>
            </c15:filteredBarSeries>
          </c:ext>
        </c:extLst>
      </c:barChart>
      <c:catAx>
        <c:axId val="5117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5110608"/>
        <c:crosses val="autoZero"/>
        <c:auto val="1"/>
        <c:lblAlgn val="ctr"/>
        <c:lblOffset val="100"/>
        <c:noMultiLvlLbl val="0"/>
      </c:catAx>
      <c:valAx>
        <c:axId val="25110608"/>
        <c:scaling>
          <c:orientation val="minMax"/>
        </c:scaling>
        <c:delete val="1"/>
        <c:axPos val="l"/>
        <c:numFmt formatCode="_ * #,##0_ ;_ * \-#,##0_ ;_ * &quot;-&quot;??_ ;_ @_ " sourceLinked="1"/>
        <c:majorTickMark val="none"/>
        <c:minorTickMark val="none"/>
        <c:tickLblPos val="nextTo"/>
        <c:crossAx val="511766048"/>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50908878025934"/>
          <c:y val="9.1715392260767789E-2"/>
          <c:w val="0.87809911307554955"/>
          <c:h val="0.77168419979697611"/>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'Sample - Superstore'!$AC$9:$AC$20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'Sample - Superstore'!$AD$9:$AD$20</c:f>
              <c:numCache>
                <c:formatCode>"₹"\ #,##0</c:formatCode>
                <c:ptCount val="12"/>
                <c:pt idx="0">
                  <c:v>4129.18</c:v>
                </c:pt>
                <c:pt idx="1">
                  <c:v>4491.7999999999993</c:v>
                </c:pt>
                <c:pt idx="2">
                  <c:v>9215.4800000000014</c:v>
                </c:pt>
                <c:pt idx="3">
                  <c:v>11190.254999999999</c:v>
                </c:pt>
                <c:pt idx="4">
                  <c:v>10749.963999999994</c:v>
                </c:pt>
                <c:pt idx="5">
                  <c:v>11586.185000000001</c:v>
                </c:pt>
                <c:pt idx="6">
                  <c:v>6262.6280000000006</c:v>
                </c:pt>
                <c:pt idx="7">
                  <c:v>10356.392999999998</c:v>
                </c:pt>
                <c:pt idx="8">
                  <c:v>24859.699999999993</c:v>
                </c:pt>
                <c:pt idx="9">
                  <c:v>27632.456499999997</c:v>
                </c:pt>
                <c:pt idx="10">
                  <c:v>26763.347300000001</c:v>
                </c:pt>
                <c:pt idx="11">
                  <c:v>21214.465</c:v>
                </c:pt>
              </c:numCache>
            </c:numRef>
          </c:val>
          <c:smooth val="0"/>
          <c:extLst>
            <c:ext xmlns:c16="http://schemas.microsoft.com/office/drawing/2014/chart" uri="{C3380CC4-5D6E-409C-BE32-E72D297353CC}">
              <c16:uniqueId val="{00000000-D40A-46D3-9538-136397D9962A}"/>
            </c:ext>
          </c:extLst>
        </c:ser>
        <c:ser>
          <c:idx val="1"/>
          <c:order val="1"/>
          <c:tx>
            <c:strRef>
              <c:f>'Sample - Superstore'!$AE$8</c:f>
              <c:strCache>
                <c:ptCount val="1"/>
                <c:pt idx="0">
                  <c:v>Max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'Sample - Superstore'!$AE$9:$AE$20</c:f>
              <c:numCache>
                <c:formatCode>General</c:formatCode>
                <c:ptCount val="12"/>
                <c:pt idx="0">
                  <c:v>0</c:v>
                </c:pt>
                <c:pt idx="1">
                  <c:v>0</c:v>
                </c:pt>
                <c:pt idx="2">
                  <c:v>0</c:v>
                </c:pt>
                <c:pt idx="3">
                  <c:v>0</c:v>
                </c:pt>
                <c:pt idx="4">
                  <c:v>0</c:v>
                </c:pt>
                <c:pt idx="5">
                  <c:v>0</c:v>
                </c:pt>
                <c:pt idx="6">
                  <c:v>0</c:v>
                </c:pt>
                <c:pt idx="7">
                  <c:v>0</c:v>
                </c:pt>
                <c:pt idx="8">
                  <c:v>0</c:v>
                </c:pt>
                <c:pt idx="9">
                  <c:v>27632.456499999997</c:v>
                </c:pt>
                <c:pt idx="10">
                  <c:v>0</c:v>
                </c:pt>
                <c:pt idx="11">
                  <c:v>0</c:v>
                </c:pt>
              </c:numCache>
            </c:numRef>
          </c:val>
          <c:smooth val="0"/>
          <c:extLst>
            <c:ext xmlns:c16="http://schemas.microsoft.com/office/drawing/2014/chart" uri="{C3380CC4-5D6E-409C-BE32-E72D297353CC}">
              <c16:uniqueId val="{00000001-D40A-46D3-9538-136397D9962A}"/>
            </c:ext>
          </c:extLst>
        </c:ser>
        <c:ser>
          <c:idx val="2"/>
          <c:order val="2"/>
          <c:tx>
            <c:strRef>
              <c:f>'Sample - Superstore'!$AF$8</c:f>
              <c:strCache>
                <c:ptCount val="1"/>
                <c:pt idx="0">
                  <c:v>Min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'Sample - Superstore'!$AF$9:$AF$20</c:f>
              <c:numCache>
                <c:formatCode>General</c:formatCode>
                <c:ptCount val="12"/>
                <c:pt idx="0">
                  <c:v>4129.18</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D40A-46D3-9538-136397D9962A}"/>
            </c:ext>
          </c:extLst>
        </c:ser>
        <c:dLbls>
          <c:showLegendKey val="0"/>
          <c:showVal val="0"/>
          <c:showCatName val="0"/>
          <c:showSerName val="0"/>
          <c:showPercent val="0"/>
          <c:showBubbleSize val="0"/>
        </c:dLbls>
        <c:marker val="1"/>
        <c:smooth val="0"/>
        <c:axId val="118042768"/>
        <c:axId val="277562351"/>
      </c:lineChart>
      <c:catAx>
        <c:axId val="11804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77562351"/>
        <c:crosses val="autoZero"/>
        <c:auto val="1"/>
        <c:lblAlgn val="ctr"/>
        <c:lblOffset val="100"/>
        <c:noMultiLvlLbl val="0"/>
      </c:catAx>
      <c:valAx>
        <c:axId val="27756235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2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14184262442867"/>
          <c:y val="0.16666666666666666"/>
          <c:w val="0.76985056013227693"/>
          <c:h val="0.7824074074074074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'Sample - Superstore'!$Q$26:$Q$30</c:f>
              <c:strCache>
                <c:ptCount val="5"/>
                <c:pt idx="0">
                  <c:v>Fasteners</c:v>
                </c:pt>
                <c:pt idx="1">
                  <c:v>Labels</c:v>
                </c:pt>
                <c:pt idx="2">
                  <c:v>Envelopes</c:v>
                </c:pt>
                <c:pt idx="3">
                  <c:v>Supplies</c:v>
                </c:pt>
                <c:pt idx="4">
                  <c:v>Art</c:v>
                </c:pt>
              </c:strCache>
            </c:strRef>
          </c:cat>
          <c:val>
            <c:numRef>
              <c:f>'Sample - Superstore'!$R$26:$R$30</c:f>
              <c:numCache>
                <c:formatCode>"₹"\ #,##0</c:formatCode>
                <c:ptCount val="5"/>
                <c:pt idx="0">
                  <c:v>186.59799999999998</c:v>
                </c:pt>
                <c:pt idx="1">
                  <c:v>721.18799999999999</c:v>
                </c:pt>
                <c:pt idx="2">
                  <c:v>1393.2159999999999</c:v>
                </c:pt>
                <c:pt idx="3">
                  <c:v>1810.6459999999997</c:v>
                </c:pt>
                <c:pt idx="4">
                  <c:v>3209.7140000000009</c:v>
                </c:pt>
              </c:numCache>
            </c:numRef>
          </c:val>
          <c:extLst>
            <c:ext xmlns:c16="http://schemas.microsoft.com/office/drawing/2014/chart" uri="{C3380CC4-5D6E-409C-BE32-E72D297353CC}">
              <c16:uniqueId val="{00000000-588A-4C24-BB40-A3FFB718C91C}"/>
            </c:ext>
          </c:extLst>
        </c:ser>
        <c:dLbls>
          <c:dLblPos val="outEnd"/>
          <c:showLegendKey val="0"/>
          <c:showVal val="1"/>
          <c:showCatName val="0"/>
          <c:showSerName val="0"/>
          <c:showPercent val="0"/>
          <c:showBubbleSize val="0"/>
        </c:dLbls>
        <c:gapWidth val="182"/>
        <c:axId val="1843253520"/>
        <c:axId val="1762561808"/>
      </c:barChart>
      <c:catAx>
        <c:axId val="184325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62561808"/>
        <c:crosses val="autoZero"/>
        <c:auto val="1"/>
        <c:lblAlgn val="ctr"/>
        <c:lblOffset val="100"/>
        <c:noMultiLvlLbl val="0"/>
      </c:catAx>
      <c:valAx>
        <c:axId val="1762561808"/>
        <c:scaling>
          <c:orientation val="minMax"/>
        </c:scaling>
        <c:delete val="1"/>
        <c:axPos val="b"/>
        <c:numFmt formatCode="&quot;₹&quot;\ #,##0" sourceLinked="1"/>
        <c:majorTickMark val="none"/>
        <c:minorTickMark val="none"/>
        <c:tickLblPos val="nextTo"/>
        <c:crossAx val="184325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data id="1">
      <cx:numDim type="colorVal">
        <cx:f>_xlchart.v5.4</cx:f>
      </cx:numDim>
    </cx:data>
    <cx:data id="2">
      <cx:numDim type="colorVal">
        <cx:f>_xlchart.v5.6</cx:f>
      </cx:numDim>
    </cx:data>
  </cx:chartData>
  <cx:chart>
    <cx:plotArea>
      <cx:plotAreaRegion>
        <cx:plotSurface>
          <cx:spPr>
            <a:noFill/>
            <a:ln>
              <a:noFill/>
            </a:ln>
          </cx:spPr>
        </cx:plotSurface>
        <cx:series layoutId="regionMap" uniqueId="{00000000-B8CF-4139-AF3D-68096E2EC159}" formatIdx="0">
          <cx:dataPt idx="0">
            <cx:spPr>
              <a:solidFill>
                <a:srgbClr val="C00000"/>
              </a:solidFill>
            </cx:spPr>
          </cx:dataPt>
          <cx:dataPt idx="1">
            <cx:spPr>
              <a:solidFill>
                <a:srgbClr val="C00000"/>
              </a:solidFill>
            </cx:spPr>
          </cx:dataPt>
          <cx:dataPt idx="2">
            <cx:spPr>
              <a:solidFill>
                <a:srgbClr val="E97132">
                  <a:lumMod val="40000"/>
                  <a:lumOff val="60000"/>
                </a:srgbClr>
              </a:solidFill>
            </cx:spPr>
          </cx:dataPt>
          <cx:dataPt idx="3">
            <cx:spPr>
              <a:solidFill>
                <a:srgbClr val="E97132">
                  <a:lumMod val="40000"/>
                  <a:lumOff val="60000"/>
                </a:srgbClr>
              </a:solidFill>
            </cx:spPr>
          </cx:dataPt>
          <cx:dataPt idx="4">
            <cx:spPr>
              <a:solidFill>
                <a:srgbClr val="196B24">
                  <a:lumMod val="75000"/>
                </a:srgbClr>
              </a:solidFill>
            </cx:spPr>
          </cx:dataPt>
          <cx:dataPt idx="5">
            <cx:spPr>
              <a:solidFill>
                <a:srgbClr val="E97132">
                  <a:lumMod val="40000"/>
                  <a:lumOff val="60000"/>
                </a:srgbClr>
              </a:solidFill>
            </cx:spPr>
          </cx:dataPt>
          <cx:dataId val="0"/>
          <cx:layoutPr>
            <cx:regionLabelLayout val="showAll"/>
            <cx:geography cultureLanguage="en-US" cultureRegion="IN" attribution="Powered by Bing">
              <cx:geoCache provider="{E9337A44-BEBE-4D9F-B70C-5C5E7DAFC167}">
                <cx:binary>7Ltbb904tq79V4Jcf0qRFI8LqxawKc2Tz3bsyuFGcNmOKFESqTOlX7+HnFR1JV3dqxp7AXs38CVB
gmlNSRQHOcbzvkP5z6fwH0/Vy2P3JtRV0//HU/j5rRkG/x8//dQ/mZf6sX9XF0+d692X4d2Tq39y
X74UTy8/PXePc9HkPxGE6U9P5rEbXsLb//pPuFr+4i7c0+NQuOZ2fOmWu5d+rIb+nxz700NvntzY
DNvpOVzp57cPTTG8PL95PzwOL/3bNy/NUAzL/eJffn773Tffvvnpx+v93b3fVDC8YXyGc2P1jqGY
CRoL9Porfvumck3+7XCk1DuEZcxjRdXrL/rbva8eazj/Lw/rdVCPz8/dS9+/+fbv353+3ZP83dGi
d8nXSUncNvaH968P+9P3k/5f//nDD+Dxf/jJH+Ly41z9d4dg6HXRpEU/dMXTgH9+e+W6wbxJHjtX
Fc3jb5PzNTDfffdfDQx7x2IVCxajrxMvvg+MUO+wZLHknH8NHP/t3l8D89fH9eeR+fH8754FHjt5
+9+s0P83o/Uyv/nkOvvbXP2fx4mSdypWhMYx+dMNJNg7DkcYx9820I9x+gsj+gcR+v3MH2Pz6d8y
NsljVXxxXVP8T+4i8Y4wyrnC6mt08Pe7CGP1jmNBBKb46zb7bWV83UV/bUx/Hp8/nvtDhJL/9W8Z
ofuX8PhD7fnuwf7VFIffUR5LKjH+0+BA7YlhWykhyNfYyO+D898O58/j8u2070b+89v7j/+WITlV
UHZc8T8YFYreYUK3mv8tYanvt4yEwkMlj5lkX6MCx7/SyNct81dG9OeB+duZP8TmdPFvGZubl6bp
l2p6/B9NaRAfqSCjya97BqEfUpoQ72QsJeyab+Dww675q6P68xh9f/YPcbr5v5TW/jHe/Y6+6ePw
uHtl5j8Q3j8/+joBQPM/nPrmj+j93QT8tg9Oz8DVMSLsD/lwu8i3M79uk3tYHIDCLy9/ctbLYz/8
/DaS+B1nAkqTBDqHi80vrz9W6F2MWSw4kVjEEv5++6bZKBTuyt9xiRGXlCCKEWYAG70bXw/Rdwr2
tFJCSSZjJenvcuXGVUvumt9n49vnN81Y37iiGfqf31IRv33jv35vezxGJeRkjhVFOOaw0CSsMv/0
eAeaCL6O/z+xdHFkZtacosn22B8mkeXltMuieSZ6qJHEGnNB5ouBLEtS9+2S4j7EB5Fn4tjWtNAZ
y/p6R5jAV31L+X2wyO54gZo0z3nPkrmLd3XOw8c6hLZNl5jFjypv8Il4VCWjYnPSmpzuRCaex8YP
pynu8wODEaZc2jbBmTXJug7jYZkQ0kLF1OlVhX7PTFsnVSNtpcvFfaS+lY9N19enMeTrHhV8P/ZC
pGiYUDKVRX6Nu0wem6Wo7omJp0JPPR1yHRPuPho8tgcyRetZP1XKpDnh/NdMCm90qH3V6rrL80vX
LcODLQd5EcoV3Y1zR9KmErfTiNUlKuM2lXWef65Mb7SK7XRcxTiltmgznZWoO3Qia45zQRPbxcut
806cuoY0ex7ZRa/jhK8boc7yxqbMBXsTySzSIiNW42WWuyrvnR5ty953KG52c0tRglZKL1QZ+tPY
r9Exi1Z8Rq2Jzqq+8TtL2jUxUbmmfYncZcuNMLtWRlGp53m8x4WnO4KZuMizmh2ox/WetDGDq/br
rZ9IfymKKNN2JPc81OFpsSPf9XNpdCZsf7vaDC608GrPRxfSyIfljhal+HXMQuKb5TOqi/6AfVwe
xyknB4CE7JdJFm5flhl/lgW3y+W4kPIyZ7XVlfTBJCEM9U7W1ZQWRspjz7tu33JSpAvCZCcZIzqX
Q6W7pVO/yq6Zv+TzovYraoJM2qxudrBv6C1d5r66WEr/YEZcPsjglseIYxTrZmXoMnJ2OpcRItrV
CIJcKON3Ppe95iSTqVmtPMsQb65jPLnLasYPJkR+0FFM26Mcnb0Nro3OZBNP16Tu1DltCx60r2jZ
JQWOanEco7FY9l1v10mrkVqbrGOYz3ix7suGTEqvoYv3hnqZENzmRreO1MdllGXSrIrlmtARNUlF
xjqN53UiadnmIu1xXehA1vomithRsdZqMzbtZcfJo6takV20cRXMucfVB1504q527JBBlopOfTHS
jByqIS6t0JOaG/W00qUtdnm2rNfrFPqbfiSyflJNnK0XtBl1I4fxgfkQ33RyNN24q6y4p1lf7lQ3
4l1eNepsdoLUWmV9taTecH/nQ1SXc1IsU370VNjugVQztSFlyDaDSRsunDhreib7KK1ZSdA1JEqY
93ry6z7jZcO7ncsz9Gk17TwkyEf5VbuIWnxATJK22/VswbdNUGP2XGZtn7BiVRoynDaYRnSHRvce
Vi6zWqp6nLXqKLZJmKrCazSo8lcRZUt0lM2E3Im5ao60k+No02nsbK6zYEZ6Oee1+qVePHu0WGBY
KWjB+QmbAU26aedw0wyCPi80HuyBZGHyR7G0okmnqFBWDzjL1K5hFm65VnnHdR0Qvo/z1dWJ7au8
1Gj2xQFyH9xxsFlWaaL62qR1XpSxngrVuGshF+J4soytiYdzW80Mpc5Nkc5FEPkOmYZfh4mHPaMz
fETVVOqOwRwnHGfLfTVLct7xqO+0dV2LkrVW86GkMb9sFG1PtlCw7wPLUmYrOiRkjMVhxMQcGjHJ
gzOdvWlIdbHmCgvdYeYugmHmPPNe7N08UKMrKgVsqqnwbTo2I9ZDycmZFN2BRU257dUS8lfOi12X
uzjaI1Gg96Ly5Y6TfsVJPLNI86hproQZ3Z2cBL8aeDt9YmVGFk1idb7EMtZV2+HUBpofhm5Ye72u
Y4V03a/LU7u0v0KN6q54TPl+FlmUFFOBpCaoRe/zFWf7gEr5wGje31IaZVAcmupU5aK/doOM9lW0
oLOpQdnTSji7WTKc9oLnJ0id2bGGS320AhdpXyv5acJtcHrIiD+WrA3nYhXrJWVE6rwNNvXzUn42
JMZnrHXTFc3DfogaqsOA1jIZYoO9LqeY7solW2+4KsudserQV41/WIUbTgufxgPumvXAppq1usTz
nKx9NCVz5cy1oIqVaReIPC9iSPGKxCz1XdzoGe7/PijKNMGF0TnJzI1f8jmZVmN3tFT5gcMD7H1v
p0rjmRpIjSv9GMdtB7WQKf84STJcYrHil2kkbs+GNd5ZnOEj79v4QxTgfkS5PPW4z/dl4f2ua4bq
yqK5/WWEfXg5dkN3wxhWF1LgJllNU15YE4pDG5vpyjq2JoxU/Fit0+dW0uJiocZ8yNyIrrIMK7hI
z4EE6rXSo3QocXWMrvpg6iEpYOffsFKEgyK8e5SiSdqe2zQO63Db9SzUmtaSn2rVq1vLzXqOS+t+
nfu81T7UaGcXh04G5R+yruEJbmoE8CCEjqIl3hXEdlIjHH0MTYZ2tMv9JSsKdB5HfVFt1b9NQxT7
lGJDSx3w8BCRcZDp2Od9r6kIOxXNTvdT4CppGRLJquRS6CYnQ9LWkgiukeU4h6uhWa6xhE3dTUPq
soI9kiCBKagpVy1QCZmg66yqYVfxxYj3cVfKHEpeXhe5ue/54ovbP3qq35Hhk/NLB9/75mX//vG/
7l0Nf15N1r/9cLPC//bp8jcP/Z9+6/DiNjjuf/zSxve/X+tvdu7G1L97uz9Q+lfX/R8g/D89+Nf4
nmAhQfj+7rX/Hd9fumZ4/JshvEHzt3O+0T1G9B0iMZeKgPWOFQPC/kb4GPN3iIJjBWiNkaCE/E74
FPx4hOAQ4UAslG/c/Y3wKX0Hmp0pAU4kY5xT/C8Rfgwy4o+ED5Yl4gD3OAapT8ClAef/j4TvV2dJ
li2QObxXOKmieqM/Q1jCWuCvo3A2bvajzU1Z6CL2lzmpoqSCFfTcZ3J1WuQ18YlEpg0ns7Z1ox0k
x6e1I2pXN4WksO/8cuFa21UfipW2F65f0XMZ50FpPNowasSwWNI6mqb4UETcPYhhEOTUt2qazkJc
dPNl53mzM4MNjV5ItWi7cHvpQbkkeMwGzZboAo2w8HXnZZ7gsllJ2i7dZ0hU3Y4QU53oFNCSLKXE
L5yhkeklzuleycyQXTY3zCSUm+Kymtx8GqtRHKNu7E6Tq0uvu6IJt1MbHUg5ktQR9WFuQOWYqBrq
pM7dNqplLT8E1vskHiEPjEu4MAoX3bFccYdxOkOiHNLRVQDjWsQdGzRuCFCcq7o+WaPMrlhD5GGW
0Trim4IU7IyWKyCXn0t+PmPBnmBGlnPbqzLr7lfu19PQ0T6i56LLg92VHdaezjz4Qye9qXYkkPnS
lbQqaHUU1QIOHYiJVdYTTiC/myE+lkUwrg1Jb/00inNA0KZTa4J7jEnYzcaOpQE+zaGiTCdcW6ym
82pWZcEHyHLgX9hTLiMhfOrBov00xQTf9f0SbqpWReFZNcKXX1SJ+y9LhsgcXxHAuhq/F3WG93wo
hOu1B2330c/VSHVbq+lizq09483oYaI6m5lkqcbyVFCgzl1X2VuMXbdDRd3pzNj5ejNnNCqKEpZl
sC5dvM2TiGB8JiHD7/Icrfu1KOzBQn0ETRPuBj7SIs2iiqSF6gxAdDvkZ1ICryU0htlOSCmzI2rQ
NOyqeGEnYLNuv6q1f3TEV09kaHG8V7bnTHftavQgMwkJeCg7YJ1e4bM+HmZN47w6K+uixEdg5c+m
pNOQrI6ymwhmkGlHff457yg6z0ta7+vAogPU/iYVcLvLisf+gFccbhs34IOZrSyvKc6Erls5j9oS
ZM8JzttZz6SfUml5c5pmxK6KISsJIEVFL7gs17MmW5FeS7SkdjSPMMZyL1GN92OVX3HTA9eOlF8g
IfqPJtjss+mM2rt6nQ6+BBSxrW3ORiz8Q9mvV6wR7HZb2dcZ7lEqNq3JW3y5lmLRpvBDImPP9rLw
pIMZ8OiLwwu6dszmH3NfrOddS+cLN9nq2Ffc66Xg+aEsJ3vIih6EcOv7ZzLb/uB5p97nNGIa7GVy
Ia34ZQUl0MRlmwCf8wtQTuzCF210LMt+/gBANRtd2jBfhCImn2q2hKDHZXW5nisU33FQTDvc9PGX
SEhTJwPMxt6u5XAah+oJ7BaVdEXWyzQal1ZpO3H63scziE4iJvdE5ZLfs5LmSDvbsV+H2hWHRvU9
XMNHp0pWJIljH+l2nKrTjLg7swEsCFkCxGVTGfZxk8tjYDzTs28mqUceyv3AcgwLfRyKc6zMeD8A
VCcVzM99H9pbWNYAvWS5ULOJEmYzdYyE8VLLuBVnsgMtoRWt5HPgjblRlSyOU+aaZ6BolVZoAXPA
1wjx3eIo0qCRTyCf7oa6k6clnkJqYXW/x5HzNSDfQo5qjLNkHtYHiUqcLoHlQgvRFldlNUFmH1H8
2VX5rGszRmmYMS3TgDj7xOSs0hj79c4FVSRUdPMHa/pGs7h0l6TytteTCE8AidNuIvHwJbdzlFjW
rjsHhsghUBJ/JM1aX6+4UNdTkOvN0jC3x1U+3JCu8+fgOoE0wN1qk77tbLt3rs93vWvRo/Rjl9IA
AqGkkRuSZTZxYsox0hQP+Zew5ujYTI34FJNhjdIVltZuhZSTmGGZuJa5mdPGQeaXcweeipz4JXgj
eQI7Mt7THJOHvFX+XM7MnDnV+ZsWmykdWjTBzCqzvBRLN7xnU96WSQtknfZoAVfI4L5OstByjfFE
Tmu3LGNCSftS10W8w8EpHTPiLkPpyyQC0L5YGzffViLajYtVl+1EWKHFUpjsFIMLdGkQblNM2vJz
1U/kvuwrfym8XN6jGXw3HXGj7qgKw3GSQzi5kBVUu4wC5JsCXXeTtx9q5doPuWy6m2assl+8zYrz
MbRBG8DOB9zRZWeQKw9LNy27bBlaDT5Hb1IKT+uSMBA0nBoAdA8ac3ygFKFFF7Rv0qhgTcIZdbsW
GXTT9iKPd0Jm7qyZIxCPtZ2Xc1YutU2KbvNqHI1hHof5Iw2CaTYZflhCPZmkbLP1DBeYPxG4fpS4
rClu8sHMCS+R+rCsrD8iukKhlw0aKw2MXex5YfmFANFxn4mpy3XEOm51nsmCpnIOF2Prun3v6dgk
/z8c/+G9k39ofmMqMNDsP4bj0/OjcX80vr+d8RsaYwz8G8NvTGP0SrJ/Q2Po6Mbgf1OiuNxc8W/W
9z8DY/xOKaY40DZjikHd+VfAWFJ48+J7MIYrQGIEhImhbRxL9D0YA661IxMZv2KGRqc8a0J73ohl
ITswyxYmch1IDWx8FpDi1fu18Ez9iol4MW5l78HVAqMUu/iecxw+WBEV5+D2h0FXRFaZ9g2X4Imt
vXJpFK/LcAc0AlLU5PPcPqCmBWsXTJMqrs+tApd0mqqyvBLEqFbPbSX3RW+aU50tcSLKsU1q8J7S
pq5oiuGFkr0pMCG7Uo231quh0yWas4sq9v4CDLzhACZCe0ZUNz+vuPpM60E+U9WjTxVYdQfkC/+5
qy1KKKv5icf9IyhMDM8rzVJqQTpzvi4mHJF3dA8KJrpqyigLqRDT3kBLoMuSTpF86hLhR1xPe9ZX
w6hJMZfXkTHkwwRwTDdKxkXwSV8YdLf0jbsbxhbssQF9qFihHgILy3XYONsDcIcg+W4Cgs/iqb6l
ZdQe6diRq66uu9MooWqhsigu6g3f2QbyKqoe1dCyEeba75jn9rytwUqpXDT92luRnZaMxXvb4Oql
roput27SIMZEtonsO3dUpHgZN/mg5iJ8ZFjOjQbrLdftJjHaupKfCRntjgkwvIN0H+qi/tBGcOum
9atGZp4+ZUPEdnHcuB21hUiYF6CPxNxMva7qiQHxF6p+L9ZAuc6Q8adtRT60U8/3Emdg02RjZY+C
jG2hjRADjH4SafOqlNAUczBUqwAsyC3O76jF9mZZ+vU6mw1KzKa1TEyiXhcoMLhL7HbQUKQHWlbd
ousoLt7PHGxwtgk0s/D4kihS7rnJ5pu5a7t90/fhaZC0ajRY40My2sh/AeIpR53PFB9qUc4X3ZoV
QDVNfzG8CsLA5/zZvKpE79nR4KHJ9TJ6cY69Mk4Xg0BXc7MgDVUYnBxocYCP3XKwvMFgH3+JwwKW
bBsvZG9j2y5JAE8wJbmZ9tOmS+2rRHU1UedTXYdSD69Jfdryu4JEX7QwKNFyfwbmX/+Qd6Kp9WSJ
+eLG1e2krNRRbMWiY9EzB7dfx8aUpY6ynOu4i6CzBbxQJ7GP/V5sBaeYFqunTpz7rRDVUpp9lTP0
68RxtSdbnbJbxVpfixff6hhQBCiDrbaprcpFNoNGE9TC/Tg4lSfNVgrda1WUW4GU3M4+rbPI7JaR
rDdiq6Jrq6Ce8tCkQ4hBDYMFdVeBJ3CQ1Tz+wgxzQIeNWXSZWWAWlRfnkY8XzcDFA+oE61BzRyXS
pFJ9Uou51etW0/E6lYcwZMuu2Cr+tNX+aW7x3jAErQ21QEgGml2ajRE4B97IZHdf2IjfqXg8dk28
Xs8jmhMXxBkbYVvrsiLhVGT1fJQzdzdlTaIdfiUSucEJ2Nn+st6AhWzoUmwQE3GbaeiQAXK94k2D
lHgfypYkyvVJHDy6rAGD0MZDOQUygl5NCd0OCYbfCDXcscYkzYZRE2pVmsczOq0tfsYz41eets2J
bMhV9yPXxYZh4E4CDEOQD90GaFnh7yPhlwz8hHh4v24QB60eD1JcLMelrOkt2PXQS+k20oMXWEyC
C2YPYgw+LTJI5Iisw3lhxvDQVIjuW9/kCd/IEYUG+gUbTaqNKzMLtnDskDkuG3FGoVK7jg5LlJY9
45+gCK5HeEkjesFlG+mwkevC6filzCJ3RVnh7vqW48TTWg8b6+Zrne9aXFUpcdN0kFMfdYnPWvOJ
rPlw0dXVXe/ceGYUb5J4A2eyIfS6wfS8YTXaALsHmdHqYczWHc15d6ipKxISB5n2Vk7pKAx9yReA
9RmofazMlFjImZXO7GySjrPowkS01c6z+YN/Rf4N/vkmA4bY8U+jNLA3Yu7TlcnqhAsbLptNNPhN
PsysoJ/tJinkJi5w1jSHFTn8ONc5TQPoj2wTImSTJGzioE4QtGveFwUOqUerBBu3ultBzQA9IGjf
xJjvLNrUTkOYSkUx3c5gA4AnzeqkHOteL5s+Kqt+aXTU5vMvKOftmdpEVC43PQXLUR0hb0ZJP6CL
XkTxHbQQbkZ4h1a3FarOobtlEwZr775cSH2WuULDltgUIG4u+Jqbk5LRnV0ULLW5c1LHcZYndJN8
ReDjfutK7vp4rBMks4vSentwvB9PGbQeoOmIinT2NT3BhjL7cZOW+TCWmoSq3QWZ1Rc56yB9z9n8
CCjvD9GE+Pk69eIJi6r6tet9dMX67raPa/Z+lfQBLbS/siprL+Y5hkbyEK0HOYpx1zIxPUAjaTxj
vH4sN/1rSpHvW1u4wwS64ziuFdjRIcr7s4Jk444WOb3r88bdrC2z0MSe2KTL8hbnnnyK5ma+UFCV
jY5xNn3ARRFtBj67qH1RnoGNtXebZEeg3S2nv4RophpBB3dXQBcR7MOpulcy9wewy9trLwechN7H
e9RmL9LmkAJzYw6yVx5syR5MA1etF4bS+dxvlsKkelBI/eRSv1ZtSjlbv7C2ujd10yTEluI9CBy2
H7AdEhjfonkZX06QVXfe4M9ZTyNdO2quS+8uoM+3XAYeLqDDQx+qzfZoNwOERt10KDZTpNjskQ7M
PeiKFd3nEDVc52pUOzeBPybmctxXvP88Y8grarNY8nnSlub1rgLnJRrZknZLDK8pbLaMUosWNq/O
w3AuHKdEU1dDT6hyeWIkiC2DRPVQRrx5D1Blz5tX24dtDlDxaga5zRdSIvdXFViZ9eYXyc05mjcP
qdncJLCc6j0yJL8QZQNpB/zLY55t3tMENtdNC53bk6EV3gcJAnopS3ghg86f4VWPMnGiY/4wz3i9
9rMoQat3+MytXbMHsR8ex1fLq9/cr+zVCLNV3jaaLy2F1xPW8NRY4z/zZUrQ5pvVucpSGMiXeqzb
fVk3yiVLE3WnpUcyqUsbHfO1szwRra1LjaltLn0gNokt5bt5qluTRDR/zgZ4qYI26wwljXfg/CoU
7qwtr4F7k6FA1X4mHF7vyDxU0DnDZ+tmB0IR9im8L4COWRyhL1JIpofNNxyH2aWOD/kOb4YioAc0
j8FjZGK1sQYVH86zrEdJ25DyhCDUnx00t44kZNlOvFqU+dLbs64f+yQ3UZ+2X33MzdJsDerUHo8g
bosV3QoPBQneh8jLKzwP+Cl4UV2vIUBCmEiVxJkl+6xZqwa/lyGDflmaTdK4p2KswYnSdVOp+l4E
Yy09y5gs7PkQpHL3MzgYCbQGnwO0qrRqgJR12XG8xrmusJiSZi5ZylRhRbqYHIQ62IODnvIlvHju
zfOsYITACOwjnOM+R/mc7Rcy+VO2ZKHTeJIhRb0szsZJtpeth2+7nrtPMey82C7dHu4YXVqloMOb
L+RQCOadzn1onrsM4UtXBHniBK+wg6HLcSVGfr8a43XbMf5MKw+2H3RJweBhat6xVXV3Xd3GuuR1
dxbVvr5FszEpj92Sa2fm8UirQW7ZYEmB+sCQp4AwZO5rneeFPfKugveFKkbOUdPTsw5Bc72A/x+x
k5WBdwz4UsdaRHA/ZL17CMVEP/TYsqD7wtdC9zgiukWVTRDM3N0cS5YU1bB8mll2nZcSphVVCnqp
s8rTqcyLLBnGFV0uPv/f7Jxbc9w4tqX/0KADBEGCeCXzLimllGRZ1gvC8oXgHSQBXvDrz8rqOjO2
q497ql9nHrqiK0KVTJJIYO+1vrVZVtpx3AwgLPp0jJLYpSo3yX2CU7hMUWm5YzkGME1G0zanpSnL
5zyp7SeL0hM90zid19bnT03kx11yfdiq0eWeSIvuK2KNPhM1zUPatcu0jZ2hx7Uc+yelGmo3RYc/
dSBDjtU4tI82lwMs56B/GfQQvAYm6V/bLn9RjaC3nJm5SH1LySFkxgDjkNSkbqI3QjbmadIL9Byl
TCvu3KL5pdX9Z+GhvafGL0BRiKY+S2YKpa/wOZ/xQFR8X9Vr/bGkBjhNOas92LIgh4sZMGjXE8Co
wc1fJxKEmWE8vxmb3EBzy9tdOZT4ES7wtNMhttEKSX1ArdMXPdsoHc3vHlVfmXYkGtOhW9aHXiQV
KBFZF49DLlGJ9X7o0wnezHZMSLBlwsvjXPEChpQvbyM9FccmlOJcRzC3xBJjMVHyXied/wC+QkFh
DmLcXLhi06BRtX6ssFUwrPwZSEQp/D1ZO7+pnVF7y6b6sb3WSaHHuho8h5HT0/wEDqvIDCrfrChk
d2hLFWQl2rIO/ee1kA2i4TYKUVwXLY2uO1i+lWs/C41lVzb9a2fnpLkPqnIMt/UaoxmDxojqfepG
nWROxyOdU3iF/itZWzo/BJKUh1h3DT5wIutH2y5mefYzKXG+EouG1z44OoaCbZ0DG2+AnA3LfINH
MiTJrst7HWfhGHSuSv9Xw6dRc0uWs88X4ECif67rZnn5Qf7500X+kScMrrjgDzghTWiEkEQSCVRl
UHeu4OJPZmO/zGUdBvM5J2O0IZLpNGAT3khzJEmyUfkba8L9VLJTWEU7wgdAfME2EerOOA+l125x
q3vpy03VF/vffzmISn/9bghxBDwWACjZL0ZoE0w9CA82n40ZzsKgVlSHYjr//YsEnHORXJ1f8esD
iEq7oOmd5nPBaHr9X0zqXSu63R+X+ZOA/fNJ/5Pk/NEx/9FA/3/SrwdES7HmfiNJ/gLSXw37P/+j
/8ZxxT+4FCxMggjMEtRHfN5/I7kBUnRRDO5aws7HIv4/SC7yQRGNJU04cFd8iaua+KdhH8b/kLEQ
SRJLsLySxuzv6JIxv+qOP/yGkKNgIpT4HUmO2JiQV93yByS3iAvIN8GoT0sfiAJOUgftvFzjG9ML
SD3rEvANd6V8MlXf1yCRIhxQdEqiZZOPaCAPQ9AolSVdHZ+8F1xtYXn7ObWULhcX8obvA1h55FLJ
cvjYt6ios8mEeZmt6urXAfucUCk3SZ/WCt1K6hpQpikgnRikKci9dJwHf/SBtzxtyw5GSw2/ezsF
JZy0cO7UaRyVmVKekP5dlqv4gnMZZkoi823uYSem2iBqma1JxKJNAKGJ3UoGLHCUTXw3cwoDdHKP
Y83ITowBjmMUcjTEwR4UT6Ys18uiqT0POWsemxKG01YsHYGrkCx5lLYRzdHtleaxjsy0x8f3UES6
9ZDPsTwxM8CG08l+KRiMIN0BRo3aCIbwqMER25lVwQY8XL/jIBQ+1rJigCKG+gluebyVmr/l02ru
o26Vm9aH4YNj5RUiWPlGB+xBx37cRMAbtwS2Z7oYUj+EgtTnsJ0fI4qaNqrroQaQJPSXGAzZnosu
zKBgVTdB09QbQKT94zRgU0+dLvI7lJ38POs2xHdz3t3SeduzrjsrMzTfyymWu6ni626MiiSDEDY+
slh+iZTqIOoEKouJ7tN4xD905D9KToJ0gEKZmTo6TTNARAHK8KkcxvAxXORyExoxPxQj7S+m0u8l
C/XnqIvnDQ6NG0hT6yZyA1QnpjhOckMuU7c0T/VQNVC86vHMQrDaFk8kU7K6DHVpz2SpXFYg+vKh
WrxK+ciW81qMzcYsEdsGEb4pWeZ8QyeVP/tEkAYccM9cVrYdOu22LIECGBPchLqnp5W6rzX+/j53
vL6Iqa01PEwlH0URmUvC+AQJTJWQ33Pvz5xA0iwNTpSKLt3eE9c+UoYVLWJnb1nF+c1asxT0HN+h
dB/vuiX0n6ADRsWWWKuBZ+hgY3gFpy8MJ77pq2reo3DPd6R3N0jbjieq47tpGnuR+ritwfAC303K
BXVXW08VakQzwUBdm9QpYrPY2xeCE0GP/jEpVrpT4oZPEpVp376usysfdDjcE1u/BMCbN7Lmj6g9
6m2bmC+jEeLYlN3LGuoWLsP41oih3lUFsyDzC3YDBLTO2uubWr+SXJm0CyzYU0c/cieXbFqlOph5
IndzIuVWOZNvSso/YTMc75lplh0w0S6rqzw6rv3IX3hM5mwpxQjhcqBAnxl+VuQkULKlqmCfkBXo
t040w74WPUPhe/K2uLWNBcpsfbq2xblVaCF4LFMy8GYDLbfZzoBed9VcLhlHKfSYqLC+mCTKj1OJ
x7yiKzsisrBcmqX2+9ZWbGNwYO99tcR3fJhOSCzMx2HlqtpAgJwvM7cvLgDMS/o1OkO01i1+YN3I
Z/oE24LXctMH6ItBdc5hczt30Rnm+HvXd9E2jr18LlEV7jhrwVEnhXoAbFrcR3r83HIDtaZvoKoW
wefYTCB69EDt2zjglmmjzWYwNbsBAo0WnEVY0jSvs6nhNeo7XT+s2HZTvWC/q7uh6zIBIt47CdZS
YX+eHNZgsS7rm1yXIk+bgvZP/bA8tTTuIZS3zX3XaC7TSaIufcgjFRxDg54IbglHsVdHE01HX3ZH
U4EIQJFo601nWvloS/HddNBvc7YEu1kntUujJCh62MdoqwBaNZ3KeNEgJ5F1LoLYb4qY7AKv/Q4E
aLNbdb/gJ95Czlzci67XMeCHdWrtqWmpdjhbSP+lImUHIISXjm4Xjab8Hghl59KyW5JDBYzdg2gc
4suC5BsQRoWfSDVj6UGpmqLXEYDJSftmHVNQpoAtsPoLsF4A4bOAKMHTOTbisa9JgiYhoMOpYzQ5
9asiOwDcbX5QPWDZIszvde3qp4SUIQjliYi9rgASZNLP+pNJ+AgagTeHAEDb5wRVv0ybZCjLLF8t
v83DIYC6xA3kMD87dZwMOt05nKYpBVhKEILo1u9txVGahxywlZ3G8WFdWA8wJl7RPPugNXlaRi5c
Ur5495GqsP/cD7T4hDM5B5bbuLsxBPaggNh+pyDL/UbXKnxE4mb6SKranxsqjgINCqiBMP4atRJM
QKHD3qUumuptLtHoRN10bLDbZiPqh3Wz1sPVXlR4ihDqdPLipjW6hTRVfyUlCNJT4xhDmMEU80X1
PH7BOSK3Br7HzsHihOUOpEtlQRXo/DgUy/KlQlfDsRnl6kVW7fSwCDQ9abNq8lCU8WhAYjfDJ1DL
1TmsTZ5jFVsuMiYbf5Sur76CH6gezdw+1WM9M/SNrTrCsGo2QaXxYzWd7e99H/YqG+cxAdk9wlDY
rkzSO1Pr+VM0r/M3lej+LeF82rWkRINLcpnLdOlXchqCcnpoI+w3aTgO5Aun63i/Dm2u0pAk48GJ
1QwHQWbzJvOlBV/rlTuawIbzpizKHtKJaMqPPXgBniZdaIGSwH1LyRL259ia+ojfXIEWm1EDjpCj
w8c3l9tQDPSTklbxbVtQhBiCiUR7V/PiUUlDgTavImthWZQpkGZwFaGG4BsFExymionbdbb9CamB
eBMbTjfr5MZNfcWBAcH7bEkGDp4i6oE+MLuNNLj8NBjNJXCj3Yxwwm9rMrkGOaDObhZRmuMo+NCm
mIMxfKqG0kIszN0YZG4Zu9dqZabdWo7OMzVl77/FKKDuFIX7FLL4nedafhC6bT53CBPtQl1P9QZb
vGrSdao6ks2ywo4IY5YeC0HFnfRcvE3RUB+MBkyesTzyYCHDNXwXM3xiq4LwRVqtizRpwgWA3wDr
s+1Yd8iTBf+38q5KDmWo18ekUv2ULUwHnyc5scy0kXlDd24vkbSwwsqF0U/Oo4Dc5nR2WEt0dGnS
iuCr7OErbVUT58jcdKV6LaRtP6zexiOgK73cuNGt6CsJ0Rs/jLDLRVgdy7x6AGtZvPatOOfrtOl0
M2VTQrYzsixZu1p54VbSsxM83+SygQ0JDJ7dxzVqwyTIxb6PUVik0TDxdykQDoCCa/KXlq9g4cpm
hrgckDBYwVMWdC/rPD+PlvntzLw6MiBVe88ju/EmrHeOUncbwAGM3dB80yVzSAq5WHyLS0jPCKO1
elPFdviQg0p4j3mndlNHQyRJOPTVzAzc3Wm2gMdEmTWmSkWQdIoBZGGaV7z8aqiE3YLms00N0TW2
lhBwKGyjj7Va6mcIZHpPi4igP1DudoCnAxW2ipObamhkllPUiM0MStI3ZNy1Q+8OSSF7DcMlr17H
BFxWCt8YLoAuIqu2xrB4C1fU31QkMKcZIPMt7rC+Zbwovihf2F1TWHtoTD/tchm2x77Oww2r/Eez
wtLOAhYMn3MYNA9h38Mco8Vw/P9d8v8VuINYKLrK/7lLvvtctD8lVoN//hd/tsgxOtoQIFccsms3
HElIJX+2yAJITwKWXUYBMk8/kTvoq6NEsERIyhLA60CH/uyQefgPigQsQg8UAxyA/Ii/0yH/ouMg
ToSMJ9h5DnAH2dX4Fx1nRQA0hLnqD9gnVrmN1jtgsz88jT/VlR91rL9eIgniCDURcrbQ7YJfLqFm
V5OcSQ/UMsQOlqRQ5NIkxiP938/8P7jK9Vv80OgPSi5LpHEV0b6N5K1bvtnon+gadCAkmv+DS/yi
x4mi42034RLOXwS9rMWm9++/v4vrR/wkV0DmvQpdkicyuMZYfr6LeKkZNLtkOMwcisFEQD8Uprs0
Tb8HWNX8PRGPJ39cTQYhTeJrOOKXNyPADNkIxtVh7dDr0xH/KBqEb+rc1Jvf39hfFsFVv2YQYK4y
BEC1q9b5w+uhYwx7aglwYzrJn5cSZjii0cEd8sRV+vtLXSWdX58hVB8WcnAAuOIvzxDeBGjSEJdq
h9bdVrW9ehwlUKjFL2mfL82+g5vzd9cG7o8FIYIhCY+uMfCf7w+qUcAIGvPDio4vhWIPlXxAmgNZ
Uf5v7g+Rmr/cH2Ow6gEf0Rhxl58vVYXEeGPIcEA5CUu4VlC2SZ+URyDuSwpFpEdSLVhSFMP6ztWg
un//fK+r4tfny8IQ2xbkPmxNv6yaNedG0yofD0lDlm3c4gbjfv7w+4tcb+LXi4QMCxPSHbZIwX6+
ySXoLAoKNhwswgN7MWs4MLkI1blm1B/8ykDhoA/fdmgfd7+/9L9aPyjfIkYl9qzgD0nxh6UqI74E
qAqQRZmrdWvCCLH2kqAsFYRetYscHfuqcWj//rJAwK6L5Oebhu3KcbMMhwIiI7882bEmpsynfjgg
7Dl86UQMgaqgM9uKGbtOpKr6MaSNOtHaqVM4UrdbxhCvoFwCsMDTvC/MMLww7cMAHcOIZKMVF/TS
U7TRE0B/OcTFroP8sAntMkGlUeqpgIajU9G48nmtkiUVpShvxngS6EvNW5OYTZkk47bugungoEVF
qGIgX8gg3lRg6+9qY5Av6l2XxsXQ3cQDwiea1uKGJj7+hOh2G0AuW/Ud7Ul8U+f1mnlKxq0m0XRj
c7TNaYXsxQaVrbt16H8+oM6pN9po2IOi/xKzRpxU0cCPJP2EJKlv9pyNt7xi9sPSrvwyKxfsiRP1
tgN5eeQNRfrdBXwHNKeHW2KCu4RWzRZswgIKdZkeQ2HxIVVib4Uv123nERlIJ/Tld0qFOAqR7szy
zumLKqf5i7TNepl8CM86VguWwVTieoX/NrexetUGIt4GgI3/EM9xFG5mBD6HYSE18Bduv5OeX3P4
ZW1fgEiChVtiyy/ThEyjuD7giMPyXSNm08Y2JovXKN40Rlm0nyq0YMVBQyikSEyG71dlMrIic3VJ
zmXOv1nEmeCRY6xd6ZcP3LNvEv3up4VFYGkcKV4RAYMRv/Z4JIPGD6md+TdvuwHR7rn3h7LHjlHW
Bi8hUlDTHMXnNZjRgPZBVKdGRuNLcV36cGjFTYM6/840s9qGgBv2bpz1Za7h9OcI7m/A+Q+gCRK6
7xjzVYoDJ88kTPFtggaozHyd5Kdo5ezggxgXYD7O+r60e4jjFdK/5fRUdd49WaPwx7B3sTCSIrrU
+dpdHdPqBKsB8TjSue0kJb9PJB4nyMdAbZrBsA0SgOJskbYqjyWLmx0GTUClWfoC0q0bVPDIncov
a47EdNkiSZfC1Y3uWR2UiI3ndB/wQb0ruAhokRlRZzZLKDsVQFKHXATS+6VS/H7VICrWfI0ztP/8
hC65v+2JCB4DJICOsTTxgyIh2Y9Ghw8iaPLbmUfwkXt/sUKP0AAhNR2c7mN27AfkUJ1b6iWrEFp4
tws6aGnmzqIJd2TfrTr5zssq+Q4F0mYjGeebQQTyXUuKaQGu50GKKSR0S0Yr4SnI6/NQCMZuAr98
rfsRT3Kclnqrc0MPSKmthwZezS06K/5Ml8ojsZAEEGdIFOyRAUbKHDzLa8LU9NaqSF9o09PDVCBk
DJNkgX0NVCxMG0xK+hJUoz31wFPOEGvmzwOw3bvW5fJ+ARbxXEsLCHSEv7yF8RLdzCxfH8Kp8rvc
DMkDerT28wqz+oKMx/KwlNqeF3B7t8Ei1jvk9qKbyoTtPuijKTOrjZ8MlMSN9as/9DNJpiyiDBfo
g+vmVTN0vYOnok09VRjG0MZxtCmSsNtNaqbfOeJ3TaoR+IYkOJVfIx+PB+gO4xZw7LjH0og2CBpH
O7OacW87jCrYjKYYYV1ovnWU9wjxxb6EwdHrZ88alafgsPCZkdLxppQC7J1o/QnfNn9mQedPa7X2
SG+wNasjVfRZGbfw5KOmlEcMpAHjVZbxBn2yPEZg2nc2XrotBE+yH3RVIKocg4lAMqz0OzQIdkvX
YTiSgda4jT5Zd0orgmS3U0hrgq7IoB7hOSzgiFLWJpilgCLgfe6txTY2VZcaYCvgJuDgFrvAG7Qp
xIgmIQ5wF6ZvgrZ+x/IkumFt0O7nrqgRmCKl+TxWXfBuBQY6AXgp1PdRuvplHeEYyIBWpz/+nLVx
9ARpFWjSgmxr6iMx38++XO4hS9ntlFTdirw83jzeY4LEdw7J6Y9LFmCNUDqMfMowtkSOaVhb+l5V
dvwI8n/cTJHGn/IhJNuiiNc7SIMlnKWcPfJ2UZ9KrruXqWiavZWu3UeRV9vCBxRnNW2yuacyo4tD
NLJznxMZ2mMiMAInzR3wnkRV9Hq8V9g8h+ksLcXja3VEtkMgi7u4Wqa7gAAKSdegWw4dkStLExOE
x4GFE4iWZGpOYFOWKgWKZt0G0VN/sK3BF6ZL7A/Ah+KnYBnpqx0nfyn4iFdnmqQA1J60qGdiAqLE
OFy2qGZ1WjyGpQSDmyAl9uQZCvI8Q0vDq09CH9x2sAQRsw31Vxngr6u6jJ+aIY5uVNDJPSYDjRvW
51ATEIRI9mhEB6jbpHqZZSH3bdvHT7KPyTbig8wSa9t9jphENlwPO8Qvx5SUYnmYY4AXmNAis06O
IeSJeHkI4Q18DpoeponBAo8Vr04eKzoTlNttw2n7rcQZfmQjHZ/HKvYvWEj5Q6xJfm9LJ2EaQCSK
+ShBBJp2nwxh/GrRi9rUAZaEM9qiFB/Bt2HoB1kerK38xRM6fZtaRT40V1nVW4twXULiP99TZRf1
faX4sgvipzuKSTvnqKjJc64qbDJgrE4grN2WREvxqXVjcpHdBD8GKeaPoVv5x2kg/GMZmfWMkyre
6V6TzQoOEzN3uD4I+H13PifDIwSudsuGttlC/VnOfzx1G2GmSDcmyT2r6I62bYeDbyxvgJsG8Kt0
B/HSA/bGQtwtUQdEqNfttpXARpvVhlvTNyA2BwqbUQm5nhxb63sFdQxxYb1W2R9r2SeBv0jCMcIF
UsONT4rlLMZWbZtaIK7N7dSnUdRW97QvmyOU8/hVKjXtraIYWHHNkm5gMuP1+97fVWPn74J+hCo1
yxD43FppbIFB8KhJ8T5U63LGprAeGXD9ezF4DzYqcrCJR7O+wOmL4AL7udx6t447EVSQUCWCLa4S
5T0cSrJzIatO3DXRTTn75SEQM9kqKGL3vRhxdEMgtXvRdyREUKAR1QZKlYLAGUANxtk0HeWQw1BX
fDR3swXPl7Wi7Z4xAwlBemw4qIFaMd4EnNn7PvdTNrh4Aj1Y+7t1hlbWq3jeIUgNmg8IKnkeKe2G
DNQtKmYeIjkyYdug+YifJjCfMvVjgZkfyQRkrjdTu7dBW79Qh+XUGI+yWhbBO835esebftzweabv
q0yYS5eiC1PCR3XSI36YRRAxhBhmfxkqIU7xjChgYtcBhD5oQNBRk8GgKxlPS2qnDjsdorT+QuMF
v3kS1h0aUvzLMwdfbeE96OnWWVJmCn/6UIYBHLTO9+owBiXfFzT0R4SsEZUAyXO9o3uhF4apGJE+
B75gY+aK5gl6Jib9JGWLtKYme/T2CDOF0cre1nZNgEe3/VM4XamqqiA3uZoenFkFgtWgReeSfEt6
K3YBb19DVwdpDXviFrdRIRnbYeeM8nHYJckwI4KK+VNKFZjcg7rkBkjY4JAKp2KLClGfjAdGbvX6
wEzRYTpP3HwRLfky+uh+YWO4Y8vcXOu2/phoWPPCF89zp302JCQ/YLcC24wBLZgVgalnCu2drJJX
0oZDZsuwgzc39goZRZgmVTjYDU0sOUL85ttaGNxvayKOqooBAk1Me7cY4FCtzrNqyhG9LmqQ6F2I
qTBg3fRb7qboUC1BDYfVARME8N89GR4zn9YQcce0YfpGl7F5aNvKvJK8alOc6s2nkRj3xUwivkZs
+bLBuK3qCNvIA+GW1Z7X2h2IBia5ATrGH3gy+IcSyYEnA+ZyOzXwVzCca2g2sY/j7SKQAlMDyO0a
uNZu6iuocbQuTnkZrC4NLNCPwTeIPJPw4Ks6ksNm7pDiMLvELVV1M7bvKO+DT8g1J3eBdJZmA0Pk
ZepLiO+sc/OD8mt3tKuW+5LocWcTBNlZgxBHWkmi83QY8BY3i4reueb9NQPrVwTobXlpI9vtMH5r
+BQPqK8wyUCz85pI+6mqtTiBHGw/qlVQlfatC1/o9YSMgwbDoXSiD0vbuhuNyRZ3uhntx9aG0WGx
/Xyqo3y6AUNefbG8VFDCA7xcDO5TD5MwzddmFJg0Fwf8MxJUHcNPxIhTUDF+i7F/UFcIGmz4LC1H
rzsiqr4Syz+ErWi2lYqCKi2mSZ87sn6rJpG8sk60W6DVADvy2l8zdmVWTs2aosbzOAo1CP/UAYbY
xOuAnaysywNgB8AlsaB4vThtTyu6CrgeoU/nIAEeZDAJrmieSV1gzg2Svzl2+RSabQLYckVTHJiP
GB4QwoeooV6AgurdJkJlvO9kjOkxVdPdWl+z4zAolFLbvFlVHsLIN4kD8TDOBAPMOIvJt9XCtE7n
IToGLk5eLAE5jr4z2aOLmVNGCvWhDom9xaEIo3wYys9LEHYfyr7qX40DHrM3BCO+0kL1GOwwdREY
zgrmFpop2144EMM2G8Edv1VDDMDQDXN5mpj7ls/JDNc0CW4XmbQ3ISrbL62hmKClwDEgYX323VQD
YQpJvbeV6LMZr+q2muCsp7I39gwhMD+XKIZSzNUoR8TJIgxXy2PYlkPJHvH7/2phgqcOZ5pMAV4C
K1UWsH83uoeKQmTgea1fFjA1OLhEgIEEjbog8NC9QwZ745hk8MbX5ck7NvKdiEFGkXYO9jDrsLMb
EoIguPrZUmDwmdb9AG6ovqbMYXXF2tGdnyb4+VjxB4KE9V7rWIBliYFOA8AVR91I9KYly9+jFTwt
oksdMvok3yX5Ip7R6uA8gdX1duWENyaXH/mCqAU1oHjxKRiqsvT2iRf8q6iT4X6CqPWee4VoXjUn
BZ7bWt5JeOt7YDJ4Yl2S7Pu8hBFOJB5KqMRHMWn+XEwI65WuwA92kDqdW9RUqwauFME7xRQs9oAe
5AUbcnW/GB+f+j4GCDDbeGvqVn3uZOWzepgTyIRheY4XBdcxQrYrZQCED8sIvzSf5vax9SP8a0ag
Nzf2aJO1uShMmHkQMK83MSaRnZHuCr8HOcIiXTljYJUrgPIiqHTfRou+raMKWV5TSmS74BcT96lE
tgtjR8Z9g+12CzAOASe70ItSDnOrZuOyzlYdhlGG9ZPFjptiogrGcMmJ7ofaPecOlNMiaHwK827d
23l407IVhxIhl2xGIQhnXpADaOXpFqWcOM28gWmY9xXq36797mw5FZvamvewL82nEeP3MOEPLG/1
3tGypDeBcQpzClS5gVoyY7GN7NkxsqwZcNtInosaYFzWtT2Q+XBAfGvXt5CRs0QP8tyuQ/3cNhL2
cbTKvS5GDPOChPUcs/HbsiDESz1KlaEPhxP18xcRoWuIatYgjhehSeonzKkEwnxsChls0U4cCGPl
Cb//6FU08QumX64ZV11+QFVYbyB3fBlZ4TYdXa/5XZyv6zwf3BJ/FmhBFiAi0UAvqKFiKGeQiYhL
gi9c1vMN76JwG/chhJSqHe5zDCGbJFHfNUYaP0SUsMu4yO/9wslLjp/eB8bEoDcRhkUUqRwWtQEn
gdleyMTtqVzclhWIHiMGMsFQhgLweyH0ryoog+tEcUBD4maYtfSz9BuOMu4EMMGD6Mv6hET0h1ii
789jdLdSQMj//eX+lTMRwmyhHOOckiD8RWnOhx6DypIVlxtt9AxrfI8OYIEZK+i/sVuCv8CoMAkA
ozKOMhyOC/0lJC8xePWfonbs3fxl/EOkX5X7uliI9GSsgzvoSnQfJ55+1jCDDxah1/9AvcekW1Db
PGQ8+Yt7IELr55wOh1Dk/BK5DpJeDp307z9UvMKrhk1hfP6hdP+goXMAT4438GD+sEMmQH4ZKIoF
QaXS/Jv396/sCE7B1XEMu4XFeH2/P1wKE7Haaa1nOEtI+m/Y3L3FSff2+9v5d9f4xd2BRc8wRBFr
JMBIP4xD2fOk+efQuP/RXPyXi+M69h0vB8sD489+vg8pS0xTYXY4GBxgd7mj7MS6Fmr5NBevmsBq
6TFg8z4foLUCMKZHwH7/ztr5608PQxww0RUzXalE//KLAcEj40LSyf6QB8D+bGfj7L/YO48du5Ws
S79Ko+cs0JtBD/rwuLRKLzMhUlJeehPBYNA8fX9UVTWUR9mZ/63ZDzRQqALuLYmHLrhj77W+NVql
QDRTgLfsomb7d68rxwMah4HAgwR3+u4Jaqtw7hxxrBu8Fq4/3waZFXywnvz5gsOdDj3Iu364KtVP
XvAotRRWuUocc5UOcd/h3G07jcWPhub7p/PGkTgJDBuub3mOG5w8Jngr82Wew/bI0tYwve0vUDM9
dLJ4ev84b9wmKwBnbXGvWLl+wTh+e+Qx+JZOJIP2uOQmjK9nI6wwzzRxLpLz949k/zlsdF4d6mTY
yEbVRyjEoQYd0b1rXFRsI8C5zRRpzLG6WR5nj8E0CL5EboVLi8+UIvnqU7fu1IIIq2AEdLB79tI1
Tq+a7vFSnnth0Z0rZwIVMmbLVVJRDOJCdzYDfLQdxRUkMVsV6jzQ1XQ9tgNtrHnwq5i9NsA9sL8f
nCggwNPZG6NMmvsmL4DleKdTv6paDCdqBq5pn6nPEdLMa6x8d1iL8ud6GYLzocLzJKvkq5zKdB+U
MxunCeCHX+9yj/GMJboS5OtjjTs7Vj6KqLZGdRVeLQm7y7otxa4vR5oOOdLKRBYIgNOx1ags7eDc
KIwhntzWPTLgGrdKhXbMcQoIwEZwWbpoGQrcyTHMpmwbgSFdgnTaukwXI66WbVA8Lr35PQDN98FH
641nzY4YRqJgAXloB+u09LdnLam1YAw7c10Ko7/UVuSccdenY4oPrd1MiTMe33/k/pz8ggcIXNdz
I2QvmEteH1C0rtZ4uyGKhMo9o+lS70Qq1SV+XXVIQHdeZvRfHtw8Si/eP/Ibry9jbdPHXIml9Q/x
hUTUZmSD3xzZ685ftD9aYFU768Gz/OLl/UO9cZJMeVmN2PCsOtmThZbhCEXnPDTHWktao9qik087
uN8aRSPP/L7EgdAzZZtXWF3095cp6ioH95aHRIJh8+srjIl6YO/ZNMceW/5BjM1DOqXMe4tZ/u0y
wF0XKYvYBTOI/nCwsRHs09YqqqMdhp/nuRm3dgjBUlaO87cfU8oNBFMIo5BhmP7JOXUrwyHVQ8Vw
ccBh4dN9cYpP4+j5e3afP9+/e38+KK7pcGI2qCNGSaefLaizXeNWgtPyaudodHPTMkigsdtXq5jw
/YP9+QJyMEobSgOPqdbp50swIM78oebMDPchc4zPYgl/FpPzkI7+BzXI+i6/1h9wKPQ5PqfG58U7
efVqJ8sxmTONdboKpW6zi1qvQlmrF9yv+pxexUfV6NtHjChFo1UAd5qYYKAVR/7OEYWlz0ugye1s
PTgrawMLZwWL3SYG5W/JxBDzUXg7v6oOjrhe7d+WM69n36Hg7R+NYTjHCXV03fJT7psfHGZ9f0+v
JB5pIuTgdXMxT95vHZpTjjK6PGrDNiCnNO5ZN/FFfP9k/lxFOBnLpNgIbRP01slDPxn2hKXHKo/S
YVvLdi+uiuGvoPFvC6GYqoVL7MztB6uk/eeXkqOycAQeemlWy5OjwpNWEfqXElz+TCuMgAe+dV25
XE0Ro7qlYZLVzxFWIKMlPCHGXdzR+zaDg5pEelYxTNqPlEXL7Im7aCjLbdp1FAdrWYA93btAG+M/
RvboH1PVex/8+jdvDFkxPHFWGOEtfX3/mUtmFe1NFNj4wHbFHBXnxkSz4/0b89YC4aGrDMjYsnE+
nr5IruAzkrbVEag99plWH83SeggD9VHV8tZjFvnUtqxDPnvY12fjBRXUctGwEE0dcHEjyc4m35z2
75/NWysQgmP0iCGbcq7d66OAQrWndDBKFAQ9vvyAz9TkDWrX99V3Xbh/v4pmz4hMlE8G3lCCW14f
LlS5r1FdlOwdk5/rtZO5f1vL5PP7Z/XWy4Mt3Q+Q5LIxOH2Mp75scDLy8lQ5LPRytuizJx4JBLDa
ZeqFP0aw+sDR/P6DT9Vbax6KWJe6GsngH5se+idm5ri6PKap/Uk1xvNSpPuueOqK5Z5F5oOjvfXA
s+3BS+uuATenV7PiHAMfSv2xS2Ho1ITr3I52YWzfv5jWW88IFzEAWwwfGw3D65sWDfY0ePTdiPMY
zScYde3eQHFMUoujKxr0wfhYWGEbD63Sn8TclNcePtdDhs9ht8ydz3SpgHAn4OcQs8BQdhiKj3a3
1ptXHgzj+mY6HvXP6x8pQZN4Y13ztZlceoVKPFtqBas4YY9BI/w8QBaFwpfRyWyc/KkcdX+WRO23
jLEuAGl13o0wh+gikY4xGyACMs7j/Qv5xnVksEUJGmBbXuvD1z+xCvgN+US5PTbLz26x1N7EFdMm
FUPs+fn9Y71xOVaS+lpXoFil6n59LBvQsOmGitI+sX6aNBxIDzGfAUQ3xyBqiJTwfPVBhfHGS2dZ
tO2paPhi/VFia1lh80pbTq/wvmDJNWKQrRXNTLlsHHsWj0KOYstIVh///rlaFnJOOlIUiKcrpbsi
pGXYt0f2atfCBwsC9+QWWXK6ycr0Cfd0+vfrNg64tgFszPEsZSdX12fk0LuiPRpmKuLZ0owmG0fd
jiKqj7XPRvr9M3zjm8PxqKEcPmwUiydvIK5SN8vhqB0nnSLhduW4NUUrtg6yuP/kUJEZkbRKwYiB
7PWpdYGbqxrf49GK2ubGqwQokkD5F/lgWR8sX289ow4v1OpDWCXPJ8+oRhfTQGZkr1IPD0PWvnge
sA088/i0xG04NOpvb45YwDBd2J5lI1k/fQGtiYY7USrNcYEPtzGD8U7CeuroA3xwoDcWZrTFpuc4
dJ6xcaz387dKtFtGZCAJW0DgiJ/TaTqEi3j44JFw+DtOytBXxzh5JmCelIULw/eIqtfaYCWC8uj1
3p09QNVOqhHWJeawjTfKbtv7RfrYjjJAMcDAZggBuI3WgCSqyRn3uBMyGMeycHvN1TF3lDwnLSu7
tbEHYv7SydekM5sDETLMpspwjtHCJWeZF6LWNqfpxrMkgj34BdbdEtUoLhqrL8Gm97h/tUgiNlBT
+qmAHbdHgUbURwkzPcPZf7BkP59VuMautZPVVxq82DHEWJe3ZR9zhct9Ta8IPxVqoSMKpXrTjkuH
JTvzUAyW0NNdJ4/HHNrY+5f3rWeTr3hg8ZysmRAnz6YveqFmn2cTreCzmNQzaLxPLqk8Tt2uoW/t
f/DaUXNT7NG+Rxl/cjwvmxvhQBk8KpGtPadr+Apno2o+KF7/bPm59EpR+FOb0KaLTg7jTmUG+iZq
jihJb7sulwiHwh+ifGQSdcVUOh48Gw5/88GWyXn7uHRpuaJsrk8LsqirRd2Rnnes23kBrW/iEpKu
cYvaHdM+g3P2OMKrk50qtdhWDUohGAQs5AKYnIfU1ytG48wxB8zXym3iBHUYD1x3wPjBGCsqvmMj
ZaM+oQcqgyXdAory6b0Eyza1knsIBn0cLp7YlKpwMQouXbor+D1bVXUvCL+tmyLERd9No9jj6OKf
14sXZ70qdoER2E9kvX10K95a032Iz0GEH4Ebsl6y39aI3Oy9uil1czTV84ybZzOP5qG0lP7gyXpr
LfrtOKeFke50XbUkmB1DrzLjhn5DXGfZ7v3X5a3SxncCdqvETFkEBLw+GVPYXSsw2x4ZOuEn9poN
m/HPbZkhrO3nD0xnbx6MfiV7lgh322nZ60sWo6biXTEyv2Ynuhy02+2RgSGoVPkHl++thcCn7c/X
AsveH8VvNc8OLAfVHGUhb+0+IBApmT8TVfKicsxbmf/BlbTeei4CdklsYPFSBadzmqXvKq4vdVox
VRlWD5v0jgU4rE0vfksuWHZ0O6HiqYucu9xMYKmmKJtTgi2vwjQs92B258cAXwAa7SR1lw+ux5s/
jwWRNhL92+h0YRynpDcwe9fHUXQvTpQ+Zba+rxyGye8/UW8eJyBpgorSX30zr5+oHpBXhnG2PrIT
7ejmED40G+O2HeQHH9K3ylaaU7jXzPW/gpP30BkjZNwIsI4K4XjWo3Mbm1vZeudAsD9VrXioq+iD
RsVbD/BvhzwtWIvFBTTkmfXRGKdDOrQv5FagcPXPZfsRZst56/llR8qQjPKRvfDJvgiUmgupLqhZ
Zuz5m8q6v8Y88mNdAYmkfUs+TGfkMakuzS4Xq+DYsFZ5lkT5E+n+s0tT5XMiVmqAjWwZawtmg0xJ
wuLgtYdNVcU1QSH7KRjDp9Bj1dyQkYBqwuin7VKurc3W/sscwSAHbbgFZvytAHyIJ7HbKUq+PNQj
7AQn3w31bN93KC/52NveB0/TW1chWp26tDh4bk8HsBVkxb5BpHxciApa1EL4nul+9jrvgp7pZ5XP
4wcHfOsWr/YMHIMBzdbTy95BiZ8FxdAxF5GBOGaQ3X5h97t10gTofb8KU99/Yd44Rb7rq9s4wojz
x+4y8uewVrZTHcuIkNhMzj6UYSq0uWj7zwQiLUd0SN/fP+YvvcZJEYr2hmgCSCq07k6/66kxw8cN
q/ro10sUA6T0793MArRJmMpF1lbVU2fX4bZwkWz90imHGcieeljUTqElOpCei2T2gx/1RhMTVQJd
n3XVDv7Y+6aTt3SJ5o3ulwQ92xpuhSrN2feJ7IHE+s6GJwX5lFftiHMiVImZDPJr19q+/0OcN9aw
1ReOHAOyGoM2+/UaBl0k9WuV1/iWC4fRyCpuzp1quUVg2XgX3K7gjKAk7wKfRb9JK5rIBKIyRwVz
oG9GZzT3M2FRXzKXwpu4FvMLZXEDQ5JHCttEuUfZAwR9yF5mFJks2Xrn+kVGUJPhbqXRqGPmiwDm
zBBsw/TCbkvnnpyG6ROvLU4UqBDL5ywcovPKDL4SGlZ+sDF/6/yZgOFBD9YJ/WnjiHYbmGnlcP5V
Od1n+HOPMIXzz8S+Zvv3r/Vbh0J9idYANzqfjZMChKGTEPX6WYpaJ9t2IlwtPVNXnkdZlX5+/1i/
7tvpU792fx12r3wGT7f/jeFXw1jnbA60l4QbxcAYx8dCDACsXb1tgsq6sFozuVETFEXbNtJbWxlR
7MKDOXSN+Z/gG/5riYPkFvKf07zBV7TE/0ahhITa8Rz83xHRH5mE/1vmS/s6k/Cff+TfuSsm6YIM
PBwGHkSbuK8iCd1/hAAw1zXkX6zCfyevOAGRhPwpHmzkLXS6+A3/Jhxa/6AbCxoJpchKTQz/Dr6B
lgTrw2/PGR5lj9/FZwQ5CD/v9P2pMVn0U+mPl2S14dIknWlU0Gw2oefjPkHoEqI3LESgluFQ2iwc
5mdFBWvtStxK/YNdu2qBWswLau8q6lfi83C4kskR3ud+0/U+ORZFk1tD3I2T2+zZVDWQ5FA4HwtW
ZkiBDZ+2Wp/JoSK0gChZRVOmu6L4Logn0TnjoAgh/qWXFNN5a9TaPCMPb74COpaACxPdOe/KF6Nv
NdYzjb/FnGC1eUV3WdR9fqiLabBwu5T2Q4bsA5FLNhAwHNUjQb+h1NFu5LUet5VcgMf6lT/dLaX2
ns3ORqpOkLu+ys1sNcplamR91UO+bCL0U9UBLnB1mOhJhoBq2vzMr1MRXEeR0tgmZ5PRuGEgSfcx
rh2ULBEKGxW23qxmrtclctwXiwzIGEVxDBMYDfsU1zrRn2wvab6qcbbuRj9r9KFFyLLN+h5ZfNrN
NvGBKYOzvqzltvCE/kIs4fyUrH36WKYCxvjUhjjLEulxom5iDvYXBDKQ6T2rOvQ2ac6uVYI0Tjth
USVIMGyt1WEnDMYdajxQ0XjKvDM/6YMniJHTpY0rtj/kQBcUsDxshBvNo06SzjCbt+RW7lh5mvrg
qArIYetNC3RgBQmpLwpS1HStA3gdrmy35oC/qPN1fRQtqRATE/dwT8037kZVtGQ72jrdzzZ2uo1k
qkekD/Sqv4IkN58Xz0r3QNEJ7AYxD4YQ7M9zDTPE3keyBgHVTt291UBBAttTfUGeu2a8aGuMiatW
x0pnqbm1ZfCprme5Hews2ckMs1xMdCPgZNOaLE16YSX25GRPuyyQWFE90R1EgjkFq2x6nkXs4jF/
1OW9XzkriSgbqp9mYeCLIALwTNUBfgx4Qd94GyTmlgKrLQIYoGZzD6eCjAFhPyRVPpyNsg72dqVX
1TZYvvvQ1T9Mspe3eg6XLQkgMAp5A/KzNujwXM3phK0u9VHS137lnpf0xb6GCCcPgIRpxXlkN1tb
T5Nw2dskzWz7RDxgY5HXIjSX71hNk+0g0vlpgLl9TJaEV9AwTJhDnUGqsO4M4F0Ypq6FVxTASbGX
5htbgzL1MMFvrSxpH/1UqM1oRM1ZE+XpZyUgFm9ClVR3pdvZcb+U3UHji1dtyHMYIOBEF1+at14m
hngmVIWQwwZqGysLMMyLrsNQNHiq+yTrJNr3vlm9NFY5n4moJ/gsEyvBe442TaJ+FCapYg5i5RgQ
u3ssqgiPoWs/T+P82aukB+8yjaYtGCsSLLf0UbiP46YTeBz8m7FHqc5hS88f/i1Q+f/o34e5e/lf
//NHy1or57uXNG+b37PFfikS/t8fxccmVy8//8e9elYv/R9/7jewEZUzLwTfi5WTwf7mn2AjK7D/
Qft8rbVIF6P5wn76X5FkII8Q19FY5Bto/fZVtEIoSfTcIygxONgR8vydz6LzuvG9HtEC37H2ZAOf
McUpbgZPv2yssfReyIVSBE7YnQs9NjY7nS9Pnjd05TMxFR5oLjH34GaVjQ9oio02Mb+njXQbmH64
6QJKQ28etjikGnEc6Vv3VxX5T3gN23Lyuu8evcIJ6KrvV4UTp+x/rBf4ufNwBzw/qGAkel3yw6kd
4V+T2i463PNW3vNT3M6T9afMMtWIzY32dglidPTq+tIiSYefnNa1NV9A+G6KvwwSO/gzv9U5N/+s
EX7nMr3eDMIJNcF2R9460ef22acaNNgEOSKbLHxJxrYpxFHB2nSPlat7GaCCTFWOzJCiIv+rMiGU
Jh9U4ycVMsdnxMn0G4nMSp7ix7ze+SwFY1ff9POfKFgcaPCqRQXFehrZhij2wNdR/W1lplIXw6RL
AkFzM7rO3Nux5S7+6Jwjsmx6bJItBgvrOvJCwb97/xpZr/eJK2InWmFMkGhMnidkFq9/ZGOqjLql
i36YBdu4b64DFPPe9kvPMzbS4YN31GOoWY7N2pU26Z+y6gP4I6Tt9LFiHxU8FiMt6fsPftc/b89v
hR9SMJqNzMUQSTJc/EPIb5qiwSYBwVQutpn1O9ubNCNccAX20P7FBItWT0zkZzf2UDqTJbN8DLCp
suoLHmSKVXClZce6DmMOGZF5Uyesu+0Ryr7wYCJPeWnhg0nsqbe/9uycRLrDs+U2gn3wgLI3NlvT
hz0cSs/Mq0sHZo/j30RzkAZiDwpPG84nPlSWmK7Iw9YRr9Gg/dyKNnzbR+coFj/I6y3a8k4226qC
6EkGnsEfyzYlImP+J63a0Ia5PJeB/82OZDaclb+u5kj/h/QVQpNnAwqutkk5O7aU3dV1Yw9cbos3
bgiunZ5gC1CthS3IkemWxeS+mR3+avKIelVbC9IkGTU5OMkA8dSmzZkOytgXikIKL//E7Y6A8hj3
vKoj13cRoZDJPhDaEWeBaeDy2nWQWo37GtaKo8/pYyV5CjGl7ilfKcmronp0WhjjzrWP/cPtzgof
y40+93oteWLBrpYYoKNx7h2xzcqBVOe7EQCLQxIbZIwQCokxtOlorq5ZVhT7JiJelWIvFWSfUyjM
kV7aBxMwMhcysUpUL9et6sfWf8g7EFLpluectWCfSWFZRVxbYS//mgNb9CGxRtNof7OgVKrw2oXu
0t02DEtKAhGbHuLRpkOjM6kY12Uo7F3Tztzb7TjZC+pU05jYzcaCx92jp++CBb4so171TISrYsyp
7SNid+MJRUh/cM1Kjd99sy5nIsVcEjNoApI3J79gsAoN8JTw4rn6Sy3XuyaaLkr9y7DOcQLtm6zy
IVkDUbe487XrJtyguWEzk23++Wgg5HH9b+ysS0w0koE/pkktTb+G040ONeBn2GVJqExp6OhBKmKn
7kH8QpCucw9gFxSY8d6bV3v4nBPJkbvaOf6yXtdygn6EcOEuwCEZ01HJroNcMSsRrpYPCQ/1EeQX
6dy8faC+QRl/Sc2cmI7IIgUsrBx1QJsQxKNNTyekwdmWvI7N2PmX/pivtXuWcXdNA59fMLm7os2H
TwvQIHPHkwsFYjaBlv+yUlMU3SNM7S6YjaUXte7hnPbuFA+9mx41SnlC6caQ/JxMQJXp8p+//NJV
Blh3dptm6yWRYFpgAyZOmuTffmkmtk3sFk2wH/krz0I669/l1A4He86SnyIqq8O/bNJRQWBmYb62
SRtOmz6OUCyeK1xi7K+G+mEM7Xxnshk4x2wC0rQ1DOcSJfuyl6pvXnpAqbem4ZEYlikn+gkqB+B4
YHXWnbaLLIcX0tDr6mt112tXna1LwZas9AHy1TpK9uoxjGEoJFn4Jdd2NJ/xrRtwyLmFtWsHrOBx
msNUYK/jhS+hgnW7NRJDrlSjlkiR1dk8aYeUMq9uL7xeWSIGmNs+m0XfXU6MXy5631qfUDIBuo2L
Q/J8ksN0ZQalPgvr1jjPS7yX25DV76c1jqCpF8gNxJtTa3wdOzG+sIGcYju3lt89zNjAep7crOrA
5Votpmu0AOV07g+pQHFgdfn1bOG4oF8HZ3x0KuecFhMDDjkRMml3A3DytXYvHO8JzO8Pc0iSa9fi
9dH9oLY1bk1YaRO7tq03t87ODVRz3UFo+Tp3UL9Q8w0q7QE4lDjHYdbTZkc76rjPmtBfVDhVc2gn
jAq2WavbCRDBbZ/NqoxLpdJHkc3ii5xIbtmIaZjixFqzegp+n0MTwU9KXrwJL787heNNRA4AEHUS
FJ8L4AobIzXrp6ZlVNt12kLR5IZnnS3Ja0EJcY6NHK93SKBYsVhsv8hLHThoooj1NFDQpENKQDuQ
PXKayuhZGrTwt6Ho2Gl4RS9uwG+VexZ6lBpRvgC3sdrspmtrsXPGTD5ipmKDM4BKw9ftAyxKHkfi
3B4XUS/YbjsXBq2o05eZC3LIVDAMO+Yv872SkZdspCvmC6sE1WBmeuU8sVsSSN4tqHR99Bg1Kvru
IMJ8KGTSfteLXl4GHvCtDlr7ykUFdwDL9C8/cO20BpqLRl8asi+/keTXHJyKkeHKDnGvs9l0+Zat
8QuEtIYGX+3SPwJcSeKub4pD6Q3ysSeHkd+v7XPLbJx94Tv914pYw5uoybCpzVV0T9TrcpH2BYl4
AUvupgDIfN24pjqXgzveNLS6H2QYuj8cdPp4gcVMmhoq9h311PjJctRwMclgPMvHCeNoO8CtSfya
aAbcxYBzWPPOFkMml0mSyVtCh7LHkHX7K/J09cAHH6a4IYOrBY7ODZ/6fF9FiXeZjxWRRgpe2jZc
Zgw/pkVEGriV9qYsw+wmndpOxFFXmXs5FuJrpwaUUom3LJcycoeLPBkx8Bp1+5A6jE5Ys+sJqTpU
ZEA9aay7BTCYTlEWDtL4aSR2KM1LpqJLHsVzPdHH2wYDIJ7wsvQcHYBWavGGkTMcdcnlaHTpTTRY
1bXhzs1TpeQzf4Y9ucqtp76mgimGoLiG9dsjWOysHJ96Z38bjGQYY6jbpFqhjn3Mba3FgUxXx40j
/GwAMloZ7km4a6LzOgOp1049Q1ddk3cZRkBRNgWaar2pnaQBWdCb1sVsiIBr7ZujkpeCDJxqb03S
Gs8aV9SfHJy6twH7eIBxE22QXRZ18o5wLV3jBwMbdlHnZZtvDdl482FOEss4BLrvl7uZmNIhO6yl
h7mNxNRWbclVg3lVnpeYVmUVWwGVS+zVQ6KvymooyBcdrPRhDMj9iFuz8i8bRVQcgQGUiBdqVQk+
eXm2hJJ1RHbK8ymc0gZk2VErPNmezeCweFicOQEuME/CjIZzm8UOC6Ob6fkgmNNLCIW9N9xHIDYw
eNlpBa9csvMnWMwgo/0+d4zI39jE793iESCdcfRxz8cmYQnmJdC3ifxCCYLkagWBMwNmsrZtmyU/
BwSex74Fzk4Z89QXn6rZ8KPF4fI35gRQ3bTrEgjp3OHm+KRgUYRqO+N2R8EOPajlfQgXINiDRZAl
nTfSPS/J6qM9VTcg4METTeAYnHpe7v1gKMpjk7teu0tHb7zCxuMACJvy6ciECWiEH5oZmWk+s7az
MpUdEWGDB/3aHqf5wVc2ER9eBGOwLuDhgNKHcBLPc+o/WQA/f2raoltH0kM8tG1iOTuQT/Zgx5Rw
mdHG0ACH3h83QebfzYbbEmYnBvJiK5otg+L/0JpGPuU/gBII4qHJjaEFRujZFO3KOrCCbNfZK+8H
9JX2h8cCgnsCIjB0n1Otvy1Llj6mhBSmUecVG7YJ9f1I0uEuCZNVwzUIk0XCl/cMuxZSM+zqWjr5
sNdY5eOOjOduw/gH3Ehde/W9bGDKSenPm4GWEOsrracfKk0AnjERXDGtYFtKvisxFC0koQsfG/cm
6jPnPvCklNtchzBD7IwHZjOl+fjTajvkSqLpw10fBOll35KUMIiesEKiGXRyRlJDiom9niLY/4XY
QsMh8EMQlNpAmtjBXW8vQIcYV3Y5uRc2bc4YrrsZMytN260NFO+5GQLAMZNtVygD+QhvoYSLftdZ
fntNo21UZ50cybLsR3OKRYnQyPV7YEARIUJ0FGqjGc56n5Pbza1h3S+JzH8mdl+Jlcmit5KXctws
cymv+crz8Wd+R4pNQX3BT0ju+Ork+wHibTw0XfZU5Kn1DZv5tJ9KKzq0ZlTvgy4obggtkIAv/OyL
2dSPVQFLImXjtg/spPjajrZaIRYtkYRmIs8H20kmms1TERLcN5CW2NmcdGomezefdBy6tvOpYFty
rkcr/4E4LPhWJqn1pbScEUNgQ5ZQJ9ozByjiUxtUNpGn0TIxayxMceVD1KRuZXFcH0L3h1vWbMTm
pl6/2tCAvrcQ5PNd5ec5X6iaLQssnwZsUE+OgkJ6tbRsBIgKtWKQeEjCAKcVHtTR3v6eZbhQyGvm
NwCxDMh9K/l7Y+h/PBPZ3HlntT/YwZYtvK5gavD5Pq+7Vn0GjYY/s+yQZn7jw4uYNDLCUR8NBTqR
mbNxzIVnP/og5sjx0OWwyZF7f/K8qfg+6LDj88DOc98OcFs2beI5l70XyotuJh9+bXzb8nLqh+47
iFI8xr0rKWxzjKw/lJp5V3gp2acNHTOnn3qM+JdRofWuKbRzPgpBBAMR6gvFPMCIF1T9OtnXQQZn
CfYke1nKEbWtEkFWuiFq1Bnmor0n1VfV16DToCR7h0wE0xCg+MfAulfs8qJ9Anqg3PhqzKrDSFG1
ho80I3RG0rwp5SJKT7n0ZCg72Wih8SN4gwCZ2kSDIcFkkePek9joxi6kHORxUOgJGkbKXGJMpUiT
u3Ubq+NkFjkxpJ7TJMuXph+AlNmtNeLv0T3BpwRv++3SxdIaIMEeDNMuGveTT3pxCC8Ha+wzY2YG
KrE2wqlI9q1sysm8KrPWb+H5GbyZJC8ukISGOOCDS4hSBvA5BPik+MrPW1gASV1ezGFCSyfuBzZg
3U2laWOCH+tTgGJ7OXQi/5KC+W/T7cirEkDArOFXSjrWApzfPqVWa84G8pfrvzAuT9rbkSOaQ4Pz
xGyV94lpG4EGqlPkqiGi1jXM4qagqch9gE/a50QRE2ExTnozSU7/pTbQm3Ad+6KZt1GXTd4Xjy0u
PMqJp/Wb0fn0D1QV0WYwbCuZugss8yY7YY91nJ0w7+ES/CTdAbjgIaiNhfdNWH2Ufx3wMeH+bcJx
Xgx2tkkx+nwiWI6huWY0FMJLSFzmdG0WERnH8ZD2IFAOGMdt7hafvKItvjvoqHUNm0gNM5gfnADG
sqGjbMMVQ3Xg1Mm9Azst93c+BMzcOTeHQcxtsnVyRY3D3iEV+18DATszVLstvSq9sjN2DZuki1gx
Z3J6ehUCMlNBPZMQlLnaRg/GHJGx4eju0mZy82rXjaPbRvQOmja8ZJDohuhocaBrEGrEg+DQcUVE
Wum8OO5B2rJ+gpVUPRpL2ysoVzSkN+7Au7Oz/Kz+aRI1szCjMMmi3rV+H2VbLe0mmDaLLdQtTcRh
3hWq784ZiGg4KJ4+OmLILxnLO3Fp+8MV+K25hgG94nB0ZB6gKlb3RTSNwRmhTgta6aab3c3UjGVz
kMq0YzWFxLYggtIl/o0Vl4Uwv05QqYbusFXOMt/1OZouCgSj2lGBskNMio6geum7qt4mdTh9N5Zk
wl++xq1ZJH3kpbcd86b5IZkqy01faLYGzWJodiOysLId5YREfZV5pf6ZGtPacaGitpt4KbN0T+9W
E/RTDxgHHgdbkA4CKLBtd+5somfr2+ArySUuDcsgsdM2pqGYe+xQg7m/rkPfHLZ4RQf1pV9GUH0b
2ZGzGjdWJBiRDZZ9gcK8iK5B5yC9dgV1ONC1Adby6JTBLoB+dU42NlqxZfBi2YX6uqtnEdszPrKw
gSfNBFVlBJrDB1mCKTU2zhSKo4DfW8QDDbPvS6Elz0YS3Q6GCYogW7q9b3XTzczN3rpREka7YmjH
FwNGHs3DoksvDZbh/hubSyDFQVEja++ZSeRHKhg0dIQF5t9ZIp354Gi3uGtHJ7maaiP9mUqLKx+O
y3RUUIpouixLDisYDvdjiO3tZpTk7113tLbFZgzqltU0qIGvll50Z9E+DLZRQZi9RdOCkHInzT+P
jstsAVG9e2RKXMQCkte9SFK4r3ZjfvFlD8Y3mEgyktVy7zr9MhP3583XzFnsfGsPvQa4UDGM30Q5
YS9ncORWrl6zTCiCkpExHgJFuFCS3TBBMMFs74EXgRkgVhSMbaoh7wL5rBO6MKqDGwvEvCeMJG3m
/soZuuEytS0NucFLu2BfoHd+GKdAWftZNZxlXfrBN1cC7l9xeO6n/8PemSzXqaRr+4qooG+msFr1
lizZ8oSw3EDSQwIJXP15UnL9p6x9wo6a/zWoFVtaFpBk+71db+gdr0QH1cTsqeG16Dh4BWW/F5hj
ziEQZEW55G6rqQDEKKc68uZnrLYRo9Riv/UL/ybzPHnOFrPudrMD41Cix7RTuSRq9NbngNliJuob
Qt6u6jFikN6AodJoeJhVGa6gClTb7bVTpfZlmFdl8IKfEaArcSzRJcE19staifJiMTp559SySCwR
2l/7BnLCvpE4bybCk9iZB8oV625Sa4FT5AAcuicpMKyYfzGruCwsGLW48yrvCW1lh1PmKAm6Hkge
xxK3q61nEv+yNa47a7hp00iaWLWjisWY0R5YMlPTq/e1VeQfcQIcFN5urM+Axv4Oin1PsGJJEDAc
LsrQjt2mN7DknM/9OhBgjJb92ZF1+3kY4SDkxH7dByPDhtzHmS5fDc+ZociUKuViJAY7j+th2gi0
ou7ypUGteR4IzKl2AznWt+M0thcj6WsJJ/LyirpAcDJSM3yiYiwCukHmv3Q2QPLimvJ+HlabVOR2
xIB9JraY3ZpZn72oocQD2SQ8SSLz/N0WGWycsK5ajjBAiPkFQRM7/ENJdKaruwk47rRn+2JdNmub
H+pCWZ/zdF3wKh2tuJOTucs2D1ZdWGEtbFTmDrLz+Biy3T9abmq9tNlcfoa7sXpY4dJwtmN8Hmo3
vF56Qxy7mWi8JZy+tnU73nUTpljA2a1pMQ62uygz4IcMFtYkrAckPE2hdHZh4F1SRTOuVG8PnwqK
Hbtw4aDSw4ze4iW32ie8VNyHAoFmnbhU9c9d11heGxeqKh3n2zpR/R/2JflB/fDCAlXWOJ+HDvaH
nznRtnV3P7iydT3cb/OeWV6GYdQDY/VgokS/L2tR92ANBQ52t+66ymg9KntZABac1lzG/IwTcV1s
mPsU6/iYikV537zGbXGha+FuuqgaBnM08C/1XDUweZWR/yWoa2M8F5GFkH03E5iwsW0MzRVfw9If
zOU8rQtVzNgH5Ty4bqPCL37TjEwqeJZUS8U85uXELLPPa2qqpKufZfseygQxaZiQ4DJ7WFbwUQYN
KgIoIOucd+0Ps8caHh9AyvpBtpedwlk2J98vKwHuOkzGADfogz0wSFaQVdp/mJ1w5AgjnMUfhqcW
D4y5wDDfCzn34VghluKmgIo6tTup/BCSktk5k+xfpnKbrZXEkKwTa6IQI7EC4nHKzHBKwTgLbI2h
mfIkrp+ZUYWh+zIH/afJyDZ4wiINS35XtU3gL5cGqnI+ilWS0JosMKyC+S/Y5u/QKqghKgcT6BBg
TjOn3jMNKZWFo0l4/I+67TSgMQuv49iDQGSQLsfT3CWuapxNFPxJLgogur/cwO9UR30DMMFwGYrw
jUDK817FJvB8DbxMBN/Ltxuo6Sf0v7qMMO89Gi242F8YtRoI/V840g1MRzMdAdtx5Iw0gP87ULrk
wrBzvLq/++iz6M4ZDjXggFXojjx5M4zsc0lmSf8mtf+9qV+v65Lti14PliVsu3fX7aa1DfAWDr9n
K+i8z8arqyRsWI5mWazAgMRtk+a6r6Pihaf8l8f+nX6nL6/fMQAxNENtj/MOH868WRjEEDrfjYDc
TifxFNr2r1AOGJDtJoLqRlDjt66dsl+nh1Ka5kaEeS4qGuXPkPDvr5w78bRjHsxWCm60xnvRxegL
LAHLJv2WRlvjDce27+p03RtprSeZNRz0JPPnS/7z4bVewPU92IxY9bz3TMqDHF7aag7fXV/Bhzis
lo+f4cEbFGDUXoQpcNww0eo9my/GzBecC/G72c+iNTt1/vPNvOOZ6wZA6AOfAJjHgXjyXjGR4ZxL
3txovORi4Ix0YjbV1IF6aXMYSZOCYO4moqZy3sULxF3uyoMaOD3UnY+rYGNQiX6I6rzmcA4CPtj3
9Swa+fLn2/xdSuIGGLwxH5iuZwWwXZz3ZgqTghxm9tvysgBA0gnMqTRpLBPEBWh6wd3NeOjsUsPV
lFlb/SG6bPpvGwt9MFx8jHIifPNcSCC/D1eQXDmu0m9fmoqwGYNg30oAQs+ryTn60kk9GDIcl4fy
a114DdyTAW97yzuRC0DUZtzn8FI0R2bN+VeN2Kr5EuEgaMvfCBjv+xiabQdbAV8bMhEn/l7ItUA3
7SLCoV9kavtg/fq8Vk0gCqPomkT1a8/NGUE98zuKvmgHd2G5rcaD6rr0LCNg6CzBfdRcL+uc/V8a
N/B1SdPgXGhU934dZWybUKwtrFa2UaxWg1lnpImeJWADRZA/v/93jBJmKnw64JT4poUFgUdn/b3l
6ZkNBlpz9yUAhgTJ7rTSsyeBcGLPmVhboPkP7CdeZ0/qcfxuep1OOivVWPeiRsfvD5Ny/j6g3fez
OIsstC1YyWR16YnkXbcAEZScEsil6QZGEcgZVU332rZyZ7105LTSHBHFtO2pZjeAdfiUo9fPEyZ8
5d9nPZ6vJ3ZoxfY06FL0TSh8TaVaXPSF0bGcPP16WklJi3q7Lm/dY45Xbk9b5ZfgOmZFOC5hp7Q+
L6htopwfOiuc0aewXhbeneOxLUIas5kZTnMdtQl8fAPCOu2kpAoMFat/vXwUIjuBqtgupDzELdwN
7lwYjWZRjZ1Xl18X6UNyPkTzYM2cudptvBqGEjy8wusZyjTwRY3LmQsN6bkJm9R94kiP8mIfkENb
/Jxh30Dm+nPfeD+F0/rEgCJI0d6BnvOebMQusskssK8vm4Uumrq2bQYc+lRbtNXZmXrFRPHnK76f
jbTRmmkDzMLfY+1+f0U5mDJXtaOeHQ7ndEY1uXr6s+EwsXj7cw/nCfCSegmYzDTK7Dp4o2j8+TY0
8e+33QOyUJ8dCTx528SV9D2LfcOQvQffqZ9qt6lHBwbr5Bk/KDYRQ32JfzD22EMatOJulmHGjNPl
Xpvts3C0UfRiG6AqSkR2RlBLGvoPCxnzZOJKZfnz/Rgapkh6b1vaSzoRtfACKFUj+qlv6cHOzne+
b+ec3cU5LcpRj/wZHcAtBm4B4VZOOTjLfPzzE79Kd/9jvxQ6LFBsN3hqntaBPfn7NFD6ad6oXgaP
89SY0P0ANWzofvOm+y3+kq57yi0FUkNlIdK12IwUAT3VcXjQo2Iq4Bk9pIuvf2j3As7MSXQckZgi
+w0I8dBXc8fWe/NWIlh2qao1+9BCAcboDKyeYfTnR3pnDIV7LnIHlk1mNd4gNh+6s/2HWrmHr7S1
RWM/hmMOr/8wYjnDDYzwzPXQfR3HNiwl7i3NFz3EmSv1lDJ0PQuNkVsQHq3F0z9q+1KWX6uoCNwT
mLFuh34FHbhJ+4VvidzRj7hmNUbe5JANzqFDDODIZGW94HH/8mjvdpk8WmQRSW0xVPC+Yr/3+6ON
ACxBNbXro8OZlOYfh56utVWbaL+NZliCA6xj229Pgd3o9bE2WosXsvg18VX7rfatMTtgjzWpR3ap
A80BcubQ+5x5YzZphBHRxYic7/TsNjFtnoTNsYB6IjsSLijI9uC/YKNaNAVUGZpiJFDKGBMPjJYh
kUfY+ozJW/voqbD8i13MuzGKdxAyOdYvtFOY2P9jq2upzfWxOzA+znUA8f7wtr2183CZywQOLued
vyz+9rvlSF8SV1/TNlmW4Km9p6iaRcsWssNpXU4WPQQIY6RDsfbTPjgJY2u9T5UBmo7ww4H9hkwg
bdiyMOnRSmpYqvEu8CWHafAPN2QyYEDO90DkfItyHwN/XBoWql+vLcMMkaZcqrBhrDCK9OvIMNmn
6Sn26wMt2SfQ80yKDtyJByqwPSFY0IzeP3c5N3J+nxN5eL0IMElY2Az+80TFdlBCmAEXppDuowcd
p9LpklSZKR7u9uYO677PB78LYzweoyKPh4HAMx0O6CyoNNjtGJdDVhvuNfXawKHsCEPiG2Ql80Rk
nkt+Hzkr1Xe3qLbhvm79eviqALDUrTtbJtVIckQir4Ph5rhyOijlUbkd+jxdkMTUZm1dIZKwoh0l
/MgiL26chjQmrb7XqrpmHqCkZUs5MxhmpOlkjiyGV7jFAU+syUWAMa6u1vpg1zgdu0jlVsr+Lc0o
tOfQKit84ypFGM2Q0xU7yhAYZWsMqvAPcxSQfezVxrJ9VH5ri6fJrTLQCHe0LZx2XKySYh/zOHRE
wlZlkoFHnDgmj7u+NdV2mUaNSd6bIsfikBkyzM19V7a1i5XtnJXGY0QpZvmIK7czXhOt1hj3rBjB
9N0bfH943AKSRFroSS1S8A/RslXlMRXwwA8bhKa6jaOydWyM78DT+vDFqgHSv+eYH8wLURDU8H6Q
z6EUGCsGLFZBmbnpvXDHOcCr/GNaA07ewBU0SqIafIrYVf4jD3EOopWJdcAS43pz2pkuDUuKlLkP
jm+OvrlvGrfrgvMUpSKvrvDjLyHsFnM2qhnlUJoJccAbRU3efdqAvZw1upmFB/qKTyx2N28ab6pk
KFQEwcb1qVohm6Joe1aZNHJxVKJmtQEOB6NZd3MnJu9za0wARGc6hzLSRFFphYk9dey6onhcnXDx
b0lnD/gY335oCFHxO7yFXC4HbuP2L9vUR/Z8UWDaAJ/aWgwjCJK18MopOMJMtuoKJQpafxXD3hU8
TkYmp+F8XdLVJ+Wr8PLIy25X1akuuCuIQ4UsExCTanfnciK7Z7714cqJKO6jSO+qg2H08vIpyNLU
2EAvKklLGWvPlH3NrN3n3qXhpENQoakjPbC6Q1MDsLCHk6tktv83Rdix9S3hGVshnTOzfBX9zoSz
MJD/MUJsbD7bGWhTT+UTwcsjzsZ9nwycg2lZO5wEK0gCTqX/CPfPliXu+0jv6V3sMPTBIAdb9w9F
rnSLEY5W8tHiTmw8NHWgp3x3HrMwSCI1tnSADbzOJwxtqPle9/aoOXRLmq8vdMmItUSmXK3KCb97
aKiI814sMq9s75NVLbqdGzcqKN4RPkjuwclooGS5P2CLRJw4BiHYaSUqtFZkV2QvepPBG3Snfnoa
SVQUDe1l5FsL9wqd60KSdKBvWfCmO8gx9Cyu4PCr/oWsL93B/IGYBYjQq8HPqgjq4ohkEO8QyABj
2CvuYW4kl01+Pc8wIOJ9QZqQ8zMP7rH/UHpuGhGboiIKQHGHgTht8av3pJvU1degMPTDAYG/NsZE
rxmSX3vcyNs079x2pFdeO8SmGw+/mtp4+/q/G/nte1QK7PI6sKGQBYnVwNp4KYWPSc5RoGfnoXt7
W7hWZoP8mA8cwLM2ir23F9VuFGeplI4rXOIzCNpKUdYq4UD5t1E9tbTSbNcVX7E7amykWEVOSi5K
aa5605vVHkTnhGKrSR7QWwu2HSOIee3tmXLiIcAIiL7wlXWiWK1P5+bbq33rHjA0K9rHB0HhAwNJ
/fCLv+b008x6TeLKXaJFoB21sKnyx80QkIfgceeObt63jrRNK3K0PQ+p/4olBqBBzmYBGi9w3lzf
+luDGpva+I+2clo32BsmoWXFmZIsqazHTFe0zL0SIHfz1RvJvpOoOV/EDDX9xfKzhu4DtaLWDz/M
bHZvJSoN/QftWX+4cxbyURGuyFcwltDN1Ex+lqvHiazZTByaDCECunLHypxTKfGfGi+dt74iChmN
wfFXk8PBGLid5Y2NzwrQcvGiEyXr/GzBYDQf2bkVIe77PV4vIjFllnJxr8hhKWiTIGqbFQUDSjZv
fPSgBd5CkcH6ys9K/MuL8FCyWVzWCyeS1dKeRrc16zqpMPeo5ziVGWVDiOIT38/hbfDBptGrbup+
4v9XVBH+F89UFqWiHtVTdTPDvaAooIaCq1s5Ffsnv0kXTgHpuum+D7/E1/V7B8QDJvqQV1O4r2qW
2Hq/GA2YFdAOS9XyDMu/YL5Bc9GWWMq+CW8AA/OhOEx5xXn32+pK13FOXZHTHEfndcz0La5IvHaI
men25ORhq8ZHGKQ5Bq7Qd/SjL1EmaSIHulzJE5WZkt7e30xN5Ef8qpvPWjrda6hX6S7+Vj8NtV+6
GVuTrZ93FMLmY6CD8/1eUAo1YlERn/Ulcu2yiUi4FatfXzuAcXzDh6lBp569SVJReyuybBZyw/Qw
NUg47HOW9ht/gww3XXpLOZZTNcRvuaReioqCoy9a07LFzb2iMIEXA6whnnR0lUCulJEfzFTp+Cl4
3Y0EyqGZOevpxpuEo0sF9hSWqJaKCowQ4GmteMpnxfYsNS5UKodB3EQOOb45xDmWu+ugTB0fYgJl
LGJzl5TU6fzgq86r5I7SheW78OM54H5xM8fiSM5iqKv6GENvPBX8Nr1s1DjV0GqwIyw631tLFiPE
rBtHmAKBCnhLnQYfSjJIjIeBzTRVhQ0qj/+F+Zb+ZahuowUKrL11N+qQZ/eHX5KMCt6IrgVEdau6
L+Sy5L314i6VX934ft+tcMZsuBgGBjJWsaSASJFTebH2xe6NJKysYHiiIkl0z0dcEYssQ8+xOvly
rwL2Nv33aBZzj9woRaCChgPBUB0lhr3J8mlzJ9tt44nVAV7NaFkte0rswOHrTvRyolXtZOaHMHPi
QKHhW3a/nuTtXfb4q9I8nudoyVD6qun5JTqKYFjS69j968ErZK2/AXeUNkMXrH+GC7PBN3TuLx+p
Q3Wi3nNy19iGqNKOoZyxW0xvSHixOjIPXuVL3JX+za8u+0tM5AUaCXyrh+vp1Mhw+l8H0HrLHszw
bsoDcgFihUCaF02MUmSfVd/oUZ4Zmy4HShR1fBBWxGyB9Ib+7ZrgDzfULfWdl686mOjtQt4QsaQB
mPKy305sjSi2QNPBIWl8KN8mLHi++i/3oaWL0UbV6yKkHPzBdXd1VqP2jqF9Q1Ka3pCsUaF3nC+E
neltXO4uXIOoBn1b0+uAM/D1ol//Uut0thZk7mBE6T4ZpJtdCtTXErRxnxeVFlS9NQh1YD3plaGv
VViutIziMsewJgj/Uvh6d6CnlsP8QA+GBwFW94+ycj6CIVCvth/ytvW56yDLFkaDwvD8pjcInTXj
6g0zm0Wv7/0vp7vfz3b68sBzcDMxxbe4/rs6KzKS1lAYhT38mhoLasC6/UF3qr84yr4roDOa8Fsy
uRYlK/7f18f6/6jKqLDsIcVYzb/7iFkubZv0Xeq6t0EEZsWM7OcanpywSKSTQFdknPyaHP/82L+X
EDzTpP9gesHDByQtIP78/V7S2bEp3xbZg0ZO/S8CTwCmaDgFAS7ALVvnv7XzPy+IRJLCgY/rC8XF
6F2xvcwH08LyIr1/I9plJSv+OXiVE/4a2X9+wPcpPjwhtds3QxAbI9/3hcylKtysIYHr/teMQbqJ
LtqvkNU977C4MkSB06Xb8GFS8Nd39dTo+fxVVmrIzWUh+ssd/d7TaXOOUjolxkGNAjb/HhZbI9NQ
wer099XboFLs6xjjywT3pD/grSV4BQDSKyMzclgc2FoYub4RSAr9tCVzz8n+QNIBcph4QWK3Io/s
er5OYTK1bsTqcJ5M1Bue1b1Ns39+iPevkReH0SwmLB4lWfya3r9GP+9HezHmm1yWembaXjdCnfSa
6cNqhJP7Fy/K/+t6HoGMpv4fzurvirPBwm4EA63p5teyt2Taz8BsmVlbtIQi+69Ka55JyR/vQJ4P
soBJpsS76cBBToHlsShYbrTUlE2yfhtBiUU2bKVeLxh/blD9B/+3+kx9Fss8OiqjEHUzFc139UzI
oosYIN/gOmUMpZfAIAmcL/7AgPnbEPznpXh1kBAwJOSkj8/V72O+Tu16nTI/O71tRWaP6gj9yO41
Efz1qf6/m8Obm8PX7/hF7YQcB/Ft/E9XBpxB/2xy9PHH8lX+H//il5ND5PyLlUi7ckaUHwIoPP92
ciBE1f8XxVew1xBDB+r79JRfVg6O/y/E8fwK3gGlWSzz/p/Hke39K9TOD6w9GCZqA6T/xs3BAsX/
vb8CR+JzSUqn7XJDFOL1IvcfixiMJ2Pu29ZkJwRxazZc6JzV+u2VvLVZRr/PDUvGCylL94EKr6Xs
5s/+XPQY6rP5MQd5Ma3Ikvow2K5faV0rO+2UKNQiv+M0YHydgoDCHZZJ/ckNU2xd8EzP5F0TsD39
4LqitHERbdi/nqm6hfZN5CLbe0S5YcP1NsqtdY5dOXbdddgNZoAuaYZBuhCti67FBdzFh/mwbZnJ
5rRTFGofKTGP3hKjfq4snGkWH0GlnUbjPshNVx7yyrVJyHLJmrHZqpUEJTBm1jXaC+hh1kXQrvaT
u0LjLGNSDFoOUm66hEdQ9NU7T0R4E8eL5VhQfExXw5jmGAUUtrl567VfiyaFL4Pfc7DbbLnIXlvp
mLOfhDKgaAFfDi/+kVuQRzYLECxNZyNh2o/yy7Sw8JmD8op3xkyE5sy6XazhLmyLU5213fOCtUgN
WdUZ8Ydawr3i5PW8wlaLQyfLT0KKh0xbLcbLVFAsadpTYasn9M7OsRhVEVsA8qdSZfkWo8bMPyFY
Utl+ncU5CJdrNieXOAhOn2RWN8lUaXLnQnhxM0dovTP/G9nwijOiemavLxO4zuDCDjTT8mmZR0Ca
yCou0Dy+YJgy7J20nB62cCLYdTPq40STGg6lXS/o1BGWVnAIbbLLouh+3sQTgrCfbSXGy022lOzK
7GbLe6Ra0/iMjfVFPbfNqYSVsCO8ckfUuR1Lgg0wygGo4ph1h1SxjUu7fOqQYe2QJ7bIruYfvmj8
69rf0jsVtX4sIYXF0TQBAznpjqIBYdKza5GdjrEU53PqY1AhMSzGQkTN+RUU5eE6HJW9D9jvnsFI
qXksWGzCfcuT1wq0mOz5WM8wnsO8XxAxr+u+6z3jPtPc9abIfqRO2t56xvjgjWKhurhWR7OrMeFG
P35qSt9nb2j6sdOubAsabyI92nPPzAv5AdgyOlCZchMvNyIq1upH65U1VXyEAClzR0zcFAbi+Em8
tI7bJrPX1Bg1AW8jiJS7Fj+mWDYjhuGbgarSnCsMDiUB8fby0fIaTrJV+WRU6XnbGmo8klR1qr+f
PEwPgWaX4iLvPc6InSt+ciwbvkxbkBTWGBelwsVZzj2nZjY30F4R8lz6/siIn2BKAxdsxk8iDhGh
zvjJeHEbhOTcDsW8rVorapzs0pzuV2tWwUNFLPOdj1SwgdXLub0jDOPgtAKBQpAGMrEA4T6SdD4m
o2ltGWZbrX3RTNmA+ZNDKROzrabc4lSN36YKnpiZzvMdQK6VzDPdIotmEtfDZVm/o0Q2zX0WuOvF
NOIfiHnXqiLilXk1EH19rSzjbmE1SDX+BA0kWzrDteFAsvyU/4TIHDHWVIQpPyhYh7dg6MlnCV10
tmPOZNvBmmvzMm+impJ+2CXgRPbRRB4d96Vic1wgMeFU9JVqN9G3ZmbsPeD52Om0H37XO3sIZtUR
mRIWU+H2eQFveQoE5OiqML4ypD7ZqEtwvyrbfd2PqC579wbRebkbKru4bAwkbzJEwEc6/FMNS1k7
rHni2h7W2Yqx/XR20B+su75OH3vUZMBbhKpedW7VXljReIB4P1/h4tbdwy02HnDtDr7atSd2WRn1
WEdEA+KbLNeRXAj19mnbQEyrVhMp2truUT5BiIcOeFNJdLP8nebQGuZ6HPSoLeEEfKi32Tmkvbcg
r6ryI/FXd0QGib1Y5UlZZm5TSIbEh31kGK+p33xgI/9McqB3guYSfRts+QELh5ySWOkgKAnHzz6s
31iYprG3nfnsYquLFYrlQHOwuvFn2roYPhijcblOXn4I58naNRzl91274DyWhRnAjcV8EK43guPc
7WaY8/UqcP8iEzHYiWax0Tbhv0bZdNqPrp0d8wj9BU4kYRIVuJpQETuuRjYwB4/X0cSshRp3BTek
cG6CgJ7HElYvqRhenFnqnuAomzN4i2rGRTjOs0VEpixHMJLojLYoxRV4MWOsl+pvK7jW3jQcCFWW
YexImul3Rd2CV0ahLT9Gooh2TliuZENW0U6O/TkyIpjZRvdz6YNH+OftfovUdDBlh0v/Gm3Q+10U
zc2SH6apXi6Msv8+Ey9VjekEPQB16KYQAYArNbf4XJlX1FPbfWOuxUGJ0Txv5NCdDC8A7+ka0MeG
Wm2YlZgthDzzVBZVbNcl813vI2o1V8RTBIvn5fgF89PyEsOmFJpEA17gqDXu1sK6og/IoxSuDp0u
f5JDGR0I2v5Coo7Wh0TMZcXqpddpa6U23nlM/YhGX1AFqATLk+EuLe00yWdL3ihQaBZ3KIi+mT23
lvezi/of7iiqQ+WxYZgX91ONQjupS9k/VSF/ahvcAZnwMv5Etw8nXxYlTHm8YQKp8jsKFsWHyG67
sxna2xX1YJohKL9MdWrumExxdGjF/ClcWxaM0XnAExZ1XUYKX7GEzOu+qF7sBq5/ba/tGfoPiNMc
QIfE8uogi62+ghWh9mAhbjI764uEjx/P1GkoAnIPCmHc3oz68Ema9nZXOhLstdmgvcU5vCwYemXH
7c9jWTwz7MvxGr+r8GMfePxbB3uFYUKZWy0qMaoo+zDhF3jnUSJ4Dgr/wfN9ZKNVRox8K0/OFGYO
znJFt/dkSkPnIncfI69UCRjmAAEj3Lu4+doJtBpEGdOsVux6UGoQKAV4mrX2d69ZGm+38p5ju7Pa
29naxpO5LcEpWLzwi4Kg+zyZyzeO6OPtZjoGoeVzPp+KbnRuvdqf90S+Lw0zazfOVLDWBPyKSPZU
H+47s74HKvPuFboqM2HWNNhi2Jjrea6sfsrBCZGKySLjnXL0bFFYDf6x6yyPIdP4BPEMMtowK7RZ
5tfMeYDsjsxxNK84OxafJY5eL03WX1SKcOhd0eZZ0mfO98qXSJh9YX+zssKoE2gaEWlwYlrOnWoH
eG9Y7JMP7q3LN7MKq13XTvIBLVd/RmQeXM+5UR2jxr/b/OYybYMx2MHnIxgelX1Bd/bn4HuaBXWS
A5ndRqMnPnnoH64taoE7wEayGQTEhA74Cr1JH8DDHJ32fnDcQSBeN+XNUuIOEZtp68XB2E3ZbkNp
U+/mBdv/JhTVEeQJhkagxoOF1eqe2pQ8joNvHAuvSGuMNirxidms/MQSN32u1GI+lMWYnswiEGfT
w+xySnv/goBko4Dmh9KUiouqnjJbFOsl0HFNPmo+XESGzYDITVXuO1FFF3Y/zPh5LlYZ423a7fw5
A0c15fBh3JbxkxlugP4dymCSg6JLXBXHWzfLh0ecyoaS8ddi7InR1K6sPVw32V1tT9Ewoi7n+CDV
x8xihqXi7GLKQwqe48du1a3zXhSMh0sqd5Q/Q0QIj5CCN/8z1AOx7eZwYWWlphExEIdljNfBX7K9
W7r+DUh9/jwHyjfYrEwP1das1g7hlHFdNYt4TmuvOQxpiHFEvS3VGQ2quSvCIkMW6ZZGGMta1Z/M
dEk/zHz1tNRMr0MdPaiavbFs+umlqRvs7PKgOPjjll0ixPTZzM9YR471XH+0cpXHpGvZRxXW5RVa
Dfw26xHVV9ZXCWaUlYy9ofMOymrUh8qF1bbzthQfq1mU+7mwpqu62aYY12diVhH73dkdtMf7MCiG
9pYyy+IRb7uYmJImlIFsNgt1l0erDCHB2nYnv7PdFOGE7inolfvQjplfwvpHBRAGSCCLKK+JkinW
GQsCTDISX+IGVOEdN+wcmTOPLmG1sHXyndOY+94nOxT1tCMRvQtOWPB11gthcenONPDlvhLY1yKC
huFe7O0wUzsMqOYugW+mmH3wj7qaR6M7TTKy7pd+5Cxg9cZxwwBjN4+rcYHQrztjGFfsptERV13h
CfzUpuBnPbTutzd56iCGsTgudfdREvArniEDEb7hRup6ZDzGodw2bweFKfzRhl12IgmULbg15kbS
Q3N/2gpl7rHT3dw9iCJu37bcvppsrC8VAvi4QtzUBjpBjD97sWnZK4kuHekqbn2vwBEvtg6bP1yA
u52XWw6aU5jde+qkY/yqgjXh4R2h8VjJQN7vjYv7yA7un/so2UXuya2Pkq2xin3GWsfmvF/3iz2M
+6kKzkbXzDtMn+BYZSI6DNiSffXcxT3V5dDFacnMVLWwlwLR5keREWtOokJ45YiaUK4SXiqMAGM+
VraL30keIecdbmfuJH7V2Xa2vZ56q+rZSmEMhPAhJF4+ctWefoMaOVq8fb+WnG/olICIhcj3CiLU
PqpYxkFIyy+SPX3cRuQeGCJ1QItYSRrlNyGGXaNMDNNYscRynAMsNOxco8C4fdXvIrk+TUtZXS/l
1CRe1jgDO3DUvNWa5z8QO8K4SuG5ABRjgtMajF3JxD91RbJWGCJtQ4VNSznOLDpq/ZCPZnQzL1mJ
4ZrwT6UvvL1dwVM1CbW9EKZ1F4aAw1LKBRlDl32VWMWDB2o9f2f14U1p9GD4tVnurSp1sUKInOcM
BlHsKBCWpBZ5/YwO8rnHJyfO5/DoeuAwMd7Q30G55SkU5naGPVfRftMk4tlDabk0WUWQEynVRZD5
O3+rviIpzbV2A9uNZvnchRwisnC3bv33pqg+v6qSK3sy2/00NiXZ0I6zx+/EjisRpReFkN5XxIop
5EWTWHnIEmZiNEtR7Qds3SaY1v1V6xcNvUUGR8ssg8QeXHFVodS/o/6A2ROiYsDruTPnGzmy3y7M
GUslXf5ZQtmdo76v9puaN8KpQ/OHajiiFWMxn/C4BiI0evsDtsZUBLrh25gvhIvXgqpuiM0ndog7
aHbdOex8rF5so7ywg3r+8KqfzkT/wnmNrdjaIBZ1t6I+N1MH6zGb5fppHlN832Z17SCUf2Ir9VEY
MH1gGQWXue+opF82No5tfk7V1ss4h1yDT8H0JbL6a2WtTpwX9hMoK1YKs+seOh9HLEWt+FMOJyd2
NNyNsh13/yn1PgKTeLG3lTaqyvwKSvszil55WmX+MPjWTyqx7P9w2ombrGtAt+xnJ7dgj8+N+12C
fu/MbHB2nVE/LTCTf3YdbgKHDBBijKl6sPlGu02B3a/vw3VEX9r+D3tn0hw3kibRv9I2d8iwL2Yz
c0jkTjKZTFKUWBcYJUrYgcAegV8/D5SqSmJ1V03dy6wPrW5RycwEEBH+uT+PMwMmhh/9MhJVAWgw
ji0ChZoujUG35KrwowjZCUPb1ulslbL5Lw3OONLB728Fl4oHVr8SllO7vD1cdIsHode4E8qNq+ft
EYvUaiI0KDnqRGu+KuHd5JkjbkfXZmNt5Fq9Muc8NVaYHotqMzJF7jZ0aIqTySz4wH/h/8or/yt2
q4ud1Tw8/DQ5BkLPj8phcYVT8jnKxdDsckKhG+kOzNHJhAM8kEemvBCGdOOxZUkKC6OHL2EuWqCo
4lAFA0hPXOTLPcEuj+aRnemwE467JewOe2mcCGYOe29sfon9+Si54MMC6CJ0H+0GcwV7ncJpsGR7
R2GM/fb3TDyRf4kjTe+gH4MXYmdqEu5srtt4vAuy7kUvU654wq+bQFZ3jS2Yn5bKAwAFwtD7LTHv
zaV2O5k2hQl2d9VHmlhPrYs9gWrYXaLTYUWDurGXGYez1hm6Q9XHOsoFDBg9d15+T9Vn0ZSGSa1+
yWNIACbuPUx0bbrKeutT5IzG/eQ7+dqVamrD17C903njPc8+c+W6DklqvRmObYMYha+DAiR8pwSq
NXQWjBubVscWEbjVjd0XXRjBb4AqgH1h2HixsQCw9IT6X9ZHI5jrbZ4q8dwZIGoc4kvlOtfm+XMO
81uGhsq158WseuvphbbPWPDaFbNGSSdc1l57OUckKnwy6ORpfGw1O97AZlKf2Gdxa8WifE4pIr19
DfzPfTJ81lL367fQf5Bo3bFBhr6baQEMnRQbQfh78N8k+z6fWunXAvf2b8H/oLfEep4Dd/st/e/m
MAmEmVYtxUygLjDlJ5wXIu2ET8oZv3EA0mh8ULHznh2C8w0FEDeq33MfqI278ACmwH+cfJcnfFKZ
99DqRQj76NY3uui5lEtgq4x8UF0LIKDgkK5dTSabGopLkVabfoQAZge9pNQEVEALcH842hXPn5Xb
6yLb/YEakGNRX1GIi43YmmrI7Z5bt4+tsJsr7H/+uIK1HjAixgaxUyKLsEJkxpNbS6imU+romMIZ
c699BoYfhrwv/gNnwOPqaUJdTP0OT0N6PQsh2jULFnbRdojZMampxwjRlz3L/LIT4inz9AOAIB+y
fi/ANDKk/J1CEGvFGBJKkPfOIHrEJz0X7opjGBkhUwseC7OLX5yE/PC6iqNYrtHU1EWRxse5zo32
HUngdRy8pckSzRb0Ry4BIwLmjGzrZ4jFR4GLd+2IYdrFadTcAZcyP2SYfOSa6EDJed0xzh1uUkCF
v5MLeJbV5wJmx4dv9AIGigOOtcC/aZXWf8iFpp/0clI7EzptwOG1s+6wvnmXf8s16Jkj35umhRgq
zYG7tK54rK5Kx69M9oxJsv4j3sBqgzg7ofDDrPkD3qAVJSSvvo2zNRmw8xx3dgZ3V5gbCxnqQZ+9
+JjZPCqrIlFfX9EH5LvZqM0uQaxX/kESgFEho52Su3adejtprLoxlmgW+6lec9gBBwqPcCe0ydcx
9JVXLUD+wzjp/UZ0bn4twG127OwN/bqe6+k9rtJe8pSFEpxokx1iR3llzmh3Im/EyVGTvy8TA0fl
OIvd1Ol2aIkcTIXWTv3NK0wB9RYYFGalB5393XVbN9N2wPyxR870UGm05KKSDMrVglWQzDLCWHTl
DdiRz9pI2yUPp2jvJg6e2IWxEIzcGlZm0r/YWAdyZf65kq48TDjHj67mYQ9zo2Jt95w6BnaMIXpz
e+ySYLh5RS8QxPpU+dLYjJHSt5mvnoktJ6FpYyiL/AxZ0YhKtLJWPWqpBWa4he7yimbQwG3sEhI9
4Q98hjqvlInQBjrEksZ6CaWveqdmL6vP7VNa2CrkqEC/UytdiiqMbjj7Xo0ObARFsf4B26ASFhss
aHWOnjXm15rXrCeH8c3v/AYj9ynOqOeTk8/873p011lS3dI/uVQN5I9BZ360Yh7WjkZNmG3Na5SS
56Bq3RUwBlAoUxKvuwXzUHlavTWN3N5P4BnsOLvMvuCoYDsQnQd9XsXxfGslqbWi9eKD6Jrs7MYD
OEkcyU3T78bZHn/5jQhh6Ya+1Wd2yIAdfsBClEHW3E1Dc0cAuYBUXPss7cZyEEwK7da3QIDAcUoO
TaWb19jLX2zNG26A5sAd5Pm/+oaNIHv+sZ+cAfOtvB6FkIe2aD78M7au+rRXfzW2JtfCOPk/1xDc
10Of/Gv9nNc9hoovr//m4eV//otx9/KDv06vmUOTwSeF/nvbwLceAqbX9jtyQ3hynIURgPvpt+m1
7byjEX1BBiy16JaHBYRNfp/8z3/Z5jty9CiYeMzwihv80P/+N/VH8Zf6O1W/e/PnHyn7prWYRX7w
WhCNN0g10s7jIvfo5L5/nl2zwyN1DK6NpIEx3jE4KzeEd4DTFXO+8QQUJABu5sUq3HHn1zbwqlEF
BwwjCSONenqAt11eWfSChIT2/H2e6sAvoozdakU5Hwt1lWzyPmaaZ+1tTpWryIbiCebjcRryM1vD
fsU81Q81NlArw83gTXV2QIMOEjdHYPb4SPPmfV9BBBLCXGYDcXliXNQ9VBbaZuf19hrHOlUpMIaV
b72HGfbVEj2uuQj/TaD6S1a7zq6ZHBsSZjaUFyyGw5HDfXOlvARMlWxK0izWzPGAdfJaTa53KGMq
hTPIp0e7pUGk7wYLllw9u+uYj/OE/GfCkAIpjlAoBXK3bBYnlV6p/ay3+kYXCxHXaZxrvfX3RWFe
hL4cegnK3JQ51JkIumcmA+5dcqKbPMkVCQs/2rIDKkMumHrjV0YLazKfVunU4OiFtsmXVV7NvZ1v
PUfzjmWWuWFUo2ANtie20owlulllGThJO2S5HGJT41Q8LVXyGCjDfD+VjnugX358qowamahrgrWu
LOg+ArCOvinqJIWIicfK0K9GfJ3zfdVaeT5s0qn2tc8AWQxahepi4GA2oF+1q6GquznUndoeaULo
FzGOHPSFwKV/CmIMXpQyN5ZcMUFrpl3JjnhP2FbuvLKCX83BwLuVZdVfNLRk9MRUK5N+BdTUwkcb
pw6b5lZnZgrOdYOVQSN7MQaY/bPBzk8aXD+hrcFmynje1aKd2/amzgqSHsw+ah+kDpPqEaRSKEZZ
zdXRi6rebZ9qM3Iu7SwwSwPErFO6qNnS1W023UV9Xu4qjONefGt58zhOWzDe+jDv7Fm0/SXolKk4
uOlDp99rpCN88jlBVuAFNuNykOZWJ4oqU34B6op0eQMcTYlm23RRNTCK1Y0PiGXyjvjsTIVdVjUA
sTAkE17S2PxxigsWpH7X4aYgv/OY5E6ar83ZY1bQuyV9BQa+FhSf5sWZ4wUkizXjws5HEyFPkkYw
XIa/GZFmKE8gA0idlULpt/M4ueO2QB6MwqFJmKgafVUdmSAl+7oqKOSbPSsmQTMw94jw+a4srZUf
cqRoeOaNa/3SJLa5LuIyvl1A27cuNvdNz7ITujg4px2/gH6DPu1sqKoiq1AV8z5VFZNp/PWPgQTJ
vfIa6jFWNnPgRc8x2oOZZRRxw+ZG3PA02r47yuiIEyO1GprRzyvd4AjejzRxrjLH6tXKACu7SfSu
vwyjV50bhMed19grckPOLTmJmBIkIa/gxwLXaWDsPP2zIP5/FkRyDDrOp/+8IN6kdEbwHzTaH9fD
7z/3fT30/XeseyyRpoVhkuWLf/L7ehgY71w8oIQDWO5+tXH9vvJZ+jsDy+9SumXjl/Wcv9VNB5Dp
55UPEotDn49B6IFF1ibO8/PKl3pgVHMmwocyq+cbL87nrWZ2qH1zKehc6xOdKnM8wCuTeDTWn1e9
dmQLRmU7Wes5GkjxwuA12cHnoKnh6Kq6DfPIlOc2tfO1B5b1aRZ5y7y6g/VDtDP11IBncjm4cG3f
EBXV9/yWzKMVNvX8NJJN/eJlvjUgoFNG1iZEcVYZTt7LgrPirBzJnT9N8oxJft4KK1Ggs+3oWDtS
g3THAPEaWZn26oik+bMFm2QLHidfV4NmHdTAzb5yE1urxL5QgFvaeyOaB+3oS7iqK6Xhl3uBTx67
2wlB2Xxkmh6nm3KIJb6FPNGcp0QPFJD7YIJIfMUoLfet1UR4fzo3poc258X+hPeIo4u/rXNlxJcJ
RXWrF3nJPZrGpU4nWzf2OnMc3XIOhr38zdhIAu+jZMZR7dwGMw+AtJSZP0zZHIo/E9O1MfmzhaiQ
uwa2s1XpRrrn0sLBJHtW8S1T4XpT63MBy5OKIjbTceN/nAfZaxvKluRmqhpvN7jzuudPjA/G9rOT
NePJ8zNULjYa1r4AhXA3p2a9nqJo/NgWd4EfFLuyLfUbo/OLHaRa0UIQpHzYba6YLm4buxHnJslN
Lhjh6cSgoQNrKmCG5Sr5PhfOAolTjOOKKgktysXDHmDml0VbvvgdB0hSlc2aeTb9J4QeDz37yCfc
YTDsQUKtU6+tDmD82IZExd40jOKSFFl+NwIfrBDaYo+hQLPTjMlFJq4OMlAPXtWOAIWDoPvkMPO/
lHniraVlpch+brnRJ/YQyFMdUDQ4csmcFu/rkWlOoxnJDsR98NmN8wZWcNRm55F8DYRtwyHfyypy
CqiQo0QiM7QjTez8FFse/Y6oL6i4hgkjDQ0PmSbMJ5cGwHg5O35OASk8uj43lT1Z9pb2YPsQYy6D
OirLQ2tNXyKG788zGINNIKAwrajT65/budtkc0pfQDLZq1xMV6OdOLcFvOYtYAKMWW4cMZWO7fxQ
s1fG4OAZTwgOPmjKCtC1OfUHqmIKREkVhINddw/A21jUJ6fe50B1r6ZEYQwiIYY7UDgMnxLywaPI
PjZVkj3xjdLAKAfraqjnYj9UlTjlNF9/FnHvRmHUxt4xba353Dj9eF32DVJDio4KVhZlRGU0Xa5o
FeGxYsn0xidFcxfMugtAnltiX8g20lbCT6mhcWPrdsDpdz0CJf8gcdkB/VWTDmR8TG/6JG8ehnyY
FnuEOFp5XG00mQZP9KRnj+3o9lccq2nUlfD/wQN5s7k1IEXBjA2igyBBtqN5N14D2fXx+o3OV2ds
mx2UF/VBZlif4kA7VLnAFodNpKDwYR0NiY7Kh8vIqOKDGYgr5egcSQNrJXJ7eAEfbOJvq4q9HuML
qRxRrw2jG3dtSkmLmehUZ5Oh/SSI2FzpmMC2nPYB3Vf2dJfVTnNKqHTZ0y5i3ZH5VR+HOp0/09w3
3vGBRLeyFsOH2VP4z+yJDqeu79d1KbP9VNgoNHbmQpkY6vw90dZix9fO3aJNzTbwcvFiaW6/m0Hy
4OKMdLCRLuflpmyBLRhjRQyrVIj95pggRTnm13mhtK+ALnF60FW9hgDwIJgp3iRReRZjH5zM2ow/
mrQ3MTwNGsKKShtX8AsxbaW5fhP0eXDS6tK8U3LEb2t0Krgmfo9toZC3RTPQpGJwox6ZBNrr2Q6I
VOK0kwcqrOKjgEmyjn00cT6M6mZg+0w3K4+aqqiuNNfJsAHYxr2riNfihiLH3jWu+pxkk2x50z7q
2kAT5p6IX/MJFOpG6ll+ZC0JNlFTm79kA+bUgtnKrrHT9AErQ3eJcVGc0NAlzSrNDJ1a5c37rhqC
k3SwII+d0J6xYRC9MfBbFWkNfpu7x7uupkm9LFKjAsHeOPuqcqajFpfjLmLiehr71jqahVlt/bRp
HidsBmeMHdFa2eO8A6CY3LGyiSc3GOpPfl95X1W6qLEQKvBbBvHLhGNyY6dzgIlNbDlwDFeUIjhr
NLee+jt+zzCAO8HxM8+IDnfF+EzU2SjC0ZysInRnLTvihmseI8JvG0bL9YFG96Vo0s3yrxXZ7i2d
8M0HIEmuu4GwXX6y4thntw/QfyC8eDX6lbYq8BgfIO7sgyE3i5UyWd9WBbOBU2/rwW3mlx2bcMUg
GefFsam1/ibqNaoU7Nw5TQUuam2shg9wW+iEEJTQQ1nHbcxJZBruRNxBj9YC9UW3hmLATZuyXAd8
xlfF1GvwNBz3qUlrHj0Ml2zcAFpWLQ9tNON5jqINRJf61ssr65TqET4FoOLr3C+Uscoix995nGKW
a2JKrdAMqKYpjYTKS+yjz7kOmpiU5bNNc8SNFlfOvR9TtgNQw7qeYBnzGFTmmXIKnYRVdbN8gcem
sIzd3A/hyHwRenBj3gx+nx1is4Y1i5PxXJO0fu/5/UiVC3VVTVM7O41ZqcCybm0YE3BoyCH9AnYU
B8UB4Q76o82Qs6XahJHWDOF2DO4NJxM0Hnacn5LWeKCRN7HDEuvsOY+apU1hlMFdEVfebkpYZCfd
uqbbYeJrL239ptGNm9525THoTZ/Qt9Z8SYbU7FcQDIJ91DeYqOhyC7uiwz4Wqe6MIUicc05m+ywx
zb2EfxnOTqqFE6nwmYxt631gL2A+SIueWpKDlvfVL7Xhqax9Z8vI7qPTFMTGs+DOMtsu4/3pi4g3
+d3e5JGH7Q7M6nESrUa7g9mloWe7UEg8rZk/p6ItyUrCcKNsBGm+ZnlTiMNcmvjryyx3zhF7062B
X/1qcHPQJJPfehRsNDP7D8lD+GTFQ7PumvaRPu7ydpxGGwDLrNs71rtqO9pDvi56TW01sM97sy78
W8/wJKuClz6xQXMxEWTYEhoV7Zn+R2Gc5AHDO6M18gNMEiPkyi7OzFvGJCSwmuGP0mu2r4yVN8wq
p4vboupPszUdXF1Vt33eTNwnlttycQTQPds52WDtMXe5zmOFFA6baSo8cKj1pj7dj3oRv9fzunhP
LZm/JTHK7NKJmuaWsEJwNePsxovtRAcdHapcxXpmEb7EMzaufBoz0mFsZ1p+reyY9QGg7pQuXMoQ
4qDelw35iC9WmXkdh9ec2KtP5QO4+YiEz1r2fnt0iqS5c7XOurGB1ZyCpjXWNFjEYR9jQwd/NSOv
9/HH2fWvMtt9iN10Wg8mJUUEA3mX9rFkFvBL6tkm0kZRhE3kBmzJSvcjIQTzQNQX0PqUWOAPNFo4
rPm5TdSn1NPufMEZOEhGd13MNHJ1TaqHdc8JGkufHcKnDyVHhKu0MMoNgMD3fC3WdlA+hT0dNT9W
weZGK9JbGN7WDd7pJ6OzI2bfGCPinE4OuoraUJQFH8xC2yhKhf3Lwj5Te3Z1JC1mbSuqkUEiqaOf
jreJss1Hq8UUHfoSSKLuVi1eN9MMZyg2ITkEXM84OlYYbncEHWgBSTPrSSGB7bKUwoQy8Hf0JyHk
uEkeCrfKbyouv2et8zZoPdFD2XfuXsDApm+n02+SskjXY8zQhF4eljmQo4dUeP6WJuM5FF3k0NY3
AFLDQXWC78jKTujs1tF5c5lfoFT0JecE1JiQZsRu9cOp9btI+qMousTLfpBEF0QnhFJyibbluXSk
v8nzJZENnZvilwMV3xzrNOlFx3b2eUo7Q+6SVK2az4K9VMWSrefrP3/xN+G+1xd3iamTSnOg1b7N
hM5MZvFLifRgyLr9PBM6vcYMmNz6eZBf/vyllmzbm/dpAdez8B2hSMG3e3MAbtKMap6SlxJmU224
R8isVyquv/z567zpUnVemae2xzDCMAlq/SHOnNdK2W3uxYdBRGqbAAk6uOhkm4I0zhm4Wh5cY1OF
g6fs8ll4MSfqaY6TW6jmy+E6goy5+fNf6Y9fsYd73DY8so2cad9yeQe99xPG0PGB5O18o5ctpP1s
4gSNDRzTIryc9rMcRr5no42Or6/9Tw7wLwYqpsWM4Yevaf3cP38fm5yeS/qgT1+mfz1RaPaTePTt
h76LR/Qz+w7ZVs/nq8PquMxFvotHXvDO476xQRa6S3jeJYT3XUNimMKQwyds7HogqNzl2/51mqKT
EmQwAz+PpBelA87fmaa8vXd9YFS2x6ODMo6ACP2bYK4xus2o63F9oDWIkWlexc6t1U7iBCzM/4vn
xFv1anktgtNcvD73Ffncn2/esdPpWfGN6uBZk3GaR2WcMhxNj4pP4JqDePA37xheb4lRErVkQQv+
wC9uNcqsMdXxeiVNRauJKUWESX82Tr20LXw7EXs9S/oG0LPUfPjhOvg3T+Q3KXEGXsAICOcS8QS1
+wfAYaPpuAsRkQ9z2/cvZVFiqi3ohLhWxiwvMpqDx8jU/+ot/5uP2OHTgktgLdfa24dE3/VZO/ke
EkVpyHNeJP3LSEshS3faynOsE3f887f5hxd0kViBIfCKEKsJgvz8nWZLXy3jkWCfaFF95S2KiUr6
gA4CS/sF1pL7Tcn+aRr440L3Otz7cQXgBtIt1wc9QIQ9MP1lhfghuKo6Q5/jaGmPrSVRzcGNOvN2
nhudHdYE6zRUQ2rQ+1DZC5bAuKAdVI8VILcpTNx8rpZ6Se/SK9McVu3oDMRHRdJdGzKQH5Xp/8VV
4Hh/uA48h7At977Nt8nN/ub3rdhnxFnZD3uHSYX9oJWmE111caGDh6oX+aUhIHSkWVMVMagnx3jg
HlQXjUKKvakjVx3TDo4q+yHnObY6hv+Ju2DZoTeDX6Ue9UQVcJkcR93EAIiMZpxKk5Yy2tKc2WD3
1yEEa21KS68yZ38rsKqesE5o7WZgb3wl6PC7GL0rzxGuUqJA7Vg7n/zREmrtMrcfN/AuiJm1liPP
Lk8Jdw3iIA8Wr6j2ISuSABYEbBwuuShjgIaJn2DU4jBMDOMLVymusZWRppnkrBOM9p2s1HRd6UmB
tuJwJB4Dm+3o64OgVSX3qRw7edZQG85B3uDclFEjnobMRJhudevgkshpQlyT4skvrfGsdx37P9J5
PL4QEiiuMVrnGSa4vNRtYZircowEns1eXjTkwge8uP46nVMH+61jVodKBRLfVY+K7toGjcNs5eRl
sFveKcIRJuyCkFVIpXX0aFLN1a4Hf3Kei4HP0Z9HPrfWNh6GgC9t9pvgcYKB9OxqrrykMfMwwE2O
tUV/7omOSY1UQwd36/LtWk2yGNk8sdJpuElz2b0UWb2s6A5v1lR4U3bdBBw61OjnxYDpRWl5gPvT
YOZymcS/ZtOSD8k4BY8YPtgF9CD+5KZk7wK4v3Lt57rzxVMSU+0TN2VwHag2eBQFJWcru0q5MkC2
aKGNgnrV0vcBTQ5z0nkYlJjWowtUJuTuJoMsMaGS98ln+E8wzJE+8LZT6JWlWPfE8l4nKlRWfly3
+9fP35Y9vp7Bt8mBeTT4+FrShQ2k8NPr32F+X4Wl0jOeG3Oy13ivd4nXj+spDoLt0Cw262S5PVwg
fWLfdVkUXSHW6SIcu4ni80b6wYXchNES+gMCQZNNQabn1Dduh02fLIUp79nV6zheo1pGTBEzVNrI
0viBqkgNku9G740SH4pWJceOSlJtp3QowOsm1lR0oafEKXDpObT5VgnA3WsTGhBCkDm9jEprCG1n
3ZyeJ84U04eOjz/ZdVU17jqTk9hq5pRIQG6E6a7D5oGM6vA5dw+kMxKYaArzaxUoELacwpIGw5PV
YKf0M+vkUH5OiHXaR4GSV32MW8xFOQwTQYyFBIc62fTXhsSpjY9kxJq1AGe6QhozbjU36S9T0qBN
9Rwbf2HqHthcX0DgwjhI5dVIHfze9lGRVgORJFoX8R/5GAVfKBUxTi7pwWOVJu5J6FUQUQxnq2vm
pCVfuNSonJqpRN1VYu5fgpQ6FuxHQ5yuubgDxH5yj+vAHrtgxSY2erQqSJ9MRO339AZoIfTz58qg
7TUrdMfeN4TVlgy9xUVHApJLSuVO95IY/AFz8CAvLHNcy2ZUJene1SJW6blNdxy3xJNj9MFjqRKk
S4Y3Jf7tcZSXWSbR4zIVOgnbEE+qWzpKoAs/y9qPHzPH5YFZmzlav559yFpgw8BnHRjVOkS6FLQH
89yAmEAQRJTQTX794NI2xLmxWsNNsuOtYZW+wyl81oMPcyeMX8pW0+bDDOzFP1i0AOFNN0Qnt1YL
Xffompb1aY5Hx93Qunf8vREX5SU5ANp78JKETOLfb8UF7+rdAwjJCauO08GxBm1cW1NjhNyXv9Xj
VmZ1K6m9HLZQrgDM/9yTayuzob2TSNH3nlxcZPYnyoT5+4IVq30PBtSMPgX+lOLpgG9Ub2e/Zo5l
xvnAmR9yzDWH4oGProzEau6d+KPy/Hqf2hW6TWJhgOOu2nmGYCKmqKJ6gmbLXkT0SyplQrbKjZGv
FYpou0mLjtQubbRxe2r9Th2UlfknTargsSX/RYkOsbwXvciCaydyeLzl7sxF0wxcKV2MLxXc1HIp
DXGFzSepjRNeJZ6ljUvUcZUF/DsjxbU74urBdTfx1YQFNOwYUR49YOX5kBZTZHqKLvOKS1BacXDt
FgKrZGzmPO8ZUO1VMvIcHJ2463Ycyf1r2PI4h/2aV85YTErcDL4800XEveRMTbHzFOt43fLCVjTb
z7PKeOC/PgK9ZKDkkXHYculPepGclyAnvUpisq8hMugEpZ15xOKhdS8VOTV0Oqtl5Tfnxnn2CtbH
DnbYtCaqTQoB2mqRIJ45HjsGxRFl9+3XMqguQUhPMnYSkaaxfHktT/umaNv9qAZ57kf2viX5dpKY
BeqKOZkuptFBlba8ARlpkmhug/ppMhuR3JrOyG+dloL3SjCEl6zaVHkXZooFcqFwATBCq0jihiQv
rtQRwGksbfc45BRnh8yv1X2k1c4T/gserKrVsmvkRnLZ/74Z2WaA2vFc9Iz7glj5kSyF9hVYeLBL
hikgoMRdbKxTzQseTYlPn6TRkn5pgt54sMA3C2yxssq3rWfnM79JunyitFPNq8JRLOuD8JkYlS2P
qvto+UazjOL2eSi54oqOr1EzyM0j/i0OqbXDmIFuVd+J9EdDUzYQDpZKb7qnakkb7kdXFq4IU4yZ
iX8pciivLFWCbmTErLhR6VblqRYbNAGzW453NE8gUBpsN5hgOZsUKDKj46JMsVMzX59ceolpumQP
4jGfOuZ2m5yssh9DvEIU0WBoWUuMescim8UNX39zqfHpH3ICqB+lFqRHjQJgSuwTlh4w9fuYqSZ9
0Z62LYbJ4X2QtKx0dGrdCyhD7aIQhtAd+fh0bbXxsDX02KCADAt2K2VzqIGuYnMpjEtl08DNgKpv
ySEi3Rs5OxKMPvlX4KYOifs62hM7KGnHa0aqfiErhDwVvlZt81Ur1G0g7enAdc3GYGh0IrBCJwys
xvWolyQMVbmXAyEP9sbRPekStc1YRNdZk9CvCmXN1nv7hqlpdce3zbpcyeLIyof1Fd8+YjXZeb90
N3FQ3AzgDDAFJepWxzzwXmju8NTWpnWqRzwUoRXrbCBlsyuCAsLleLZK48LOj+Y8yuC+Om7kHC0L
0TKlqS/IqMutKLiL/L2WzV8wGPGF2HBBqOhxAHQCH9OJw7IjINSosQJ3K8UsiydIovOEYL3iadhn
9dXQmAjsFjP/my4n3bIqE542qdtyRc4j02aKzYqkO6t8ytKQwPBfHcWXU8dPp6jFRuZB/0LARoJ4
e+xH7M0CVjyxFzi32PSPklhZu2x8//x4+IfTjw/oA6GCWbsOu+itLokJrR+yuse6Ubk8jAfErYem
azV6xaRRX8E74ejy+jj889d9K5bxsj6Jb/LsnEyBKr05dXEkL6ysloKYTuE+91rZ7stOFpIkPwzu
TV1W6uK6yeJZGZdd7p+/OrrN208XPB6nYm5wfom3JSCKlH8xUWG9BxPOAQTB2Hzwl6cu2j5P+x7M
wUL+aDmWLDtv0/Z5uL/+Cv8odn+h2KFDLKUH/9nx9b5/Tn5U677/wHe1ztCDd7qjc/XoCBsm185v
ap1hLNZnOtG4lFF1dJtr/Ve1zkStI0j/Ku59l+ks793CuoOxZ3Cnwfr6WzLdq6zxww3LzRNYlm4B
XrTQsty3N1LNkkWUzFc32KO0maHHJJTali4nv7JEzMqlZH0b41hcMV3pXgxaRHcy5Vivmqrdt3QV
XEHMl7Qq041Spoa8JEo5Z4ImnW6t6kIunX5ElfSBuGdZunY0YW9VsmKNDEYEvfeExcCv7ofSJMgS
TyPuZr2INEDbYFqO+FDbDjspGFkfL7On0mE/LV3qtKt6g5FGh8iTzLoDz2/GezHyId9TH+QBJ4CX
TmFxRsvkFZ+lTSgrJ5em87IQWsXirCppolnF9owxmjakku6xIj1FZZnsGo+azXCq3Oihokv1Ye5r
a8+bqplTDdqniVnBg5/ZZKTob8juGOUh/gFqYGoab5M6Gp4RLNNVS0sToAPieaHLzC4M6lEVgODl
TJHFEYZg6mAunXMIOBuaBsbmyiQnWFHTQPjklMT5qB3kVMPHyHHEqntNGcMMLiTOswU2IxzT25mY
CYbdGOl13+xZWiNj8YTBEMvlxS0Apd8IiR+KbwHfhFmOh3+eCP8vDygjqT/X8Nl+J/8Kn1tYY9VP
sQiwIMuP/qrkO+8QXtwFpOowSHzNPnxX8n37ncVCCkfKsElH2Bbr0fdnA1A/rNNosoBCLQqOXJ5O
vz4irHf8VcrLAAU6uhE41t9R8oGivll2AsPm2BIsrU++oVve0n/ygzTq5YQC2qLLKOpbFhQjWEx0
cxdzTjfHNpCL8RlIiq/Tl3uITBXbB46IgY8JhV750JyIMmwtaPtgimiDavZaQdM8iAckZHr1kBFe
ypSjm4oS+8Cc0zjByrEPpApZ5JSZNU+FcK3DmMJSAxlB4xubeiavSyjvOkii+qla1CihzyzBY4Yr
dzVVhn9Na4j9/E25DBBj6CmLF0BabfpiZxZe0m44ai4/YnHLh3mWqjPcheBxgJuArCmgv63I78lL
LB0eh8uzrc1MzvV5ydbdou6mvaU4Iq+xnLa1f3QDr3vpSNU+FNUiOBoJ8U9MYyiSwlY8MQvJxiCn
+AM+f7BIaeb/sXcmW3IbV5h+IuhgHpadyLGGrLnI0ganyKIwBoYIAAHg6ftDUnJTlC21916Yx6ZZ
lUggEHHvf//BTuURA1DrGZ4wzZc9TfcNUR1HZ8ycl0XT89UO0JdyTJpNXyjrnNrk6JGekCavhV/x
qzuaEbUJUCKrAy2B+ijIfwBacqFr5KqiFkhWEHtyJP/sUh0JsKf3OV2bmAF/t6Nnaa5WV3ya6aT2
c0GwHHuhg4n6xo8mvjWeJIBwpNq8gXbx3aNLBznAOzkTUCCuaxImz05JzwUbAd8HnU+3RZKPJ6eJ
ylO9NvKUz+v99DFLpzeeBCgo65q/+f5AK7Y0uUWmSb81rE/40kPySJXClauZJ7q5BCAShxo6KOhO
Zf4A5s1XaOaC3wIxgz9DVQG+kLPEfdGFQU9GfNXa8cyugVLWCECZul4QH9+WIjM/SR+b/H0lFqTr
+ED+liXDWkGNNcOjSj/2i/L2M9xON64SYFo8GIsHOMb4thF0ZcStJeznmpbl7YIONZ5goZeTOyR7
mgJ+05LY/ElpyLXhmBK99qYz3Wf+Ol4FlWQ12FLxZCOnx0D2Ahox7hsQZAcBJTv8KBYfVjjZNhlt
Xr1At/0H02WMFuHXWOcMnqneBtHEA24YSSEpxcEfDKNo6bjrAhIHMTAE5e0A31lvFq/lTdNS1x6D
InFORjHShs/a4brzZaB7FRyR4J9pTfyiFqyYxBrUx0RflWK0bvDsxnWdgG2Dna9tPkZlTBFQ876F
pC45cd+ZORiGHe0gWACrjSP+aCtsJuHVvF6W8KWrngmuvm7Wlx39Q/uW+ABt2hm4JdpO5/sJLuW9
WJhFuBmumnssDCMItSvy0pPn58RtFa6Q+Tpq+N4DXF6JAWDl4OdrB37piuBPO6ecdJi3JQCY6DxO
660/+Nazq5vk1ViHDZsW2Izg6C4l30EGvJx+wzxrwXHmUGWeHjcE6vB1zNw95WrigXYXSBunTxYY
doFGrMqR+3MB7C9g0Gwu7CBMbpwTDn3RjW6q6GbpcO8mHWHmNzStVQAVwFkM4yFAMH4P/xqXT0Oq
mf00XZAiVTjdoNdHM3kBp7rJAIrLDAlvCP+hjTPJVO8XNQ9YpfBSQPKVOOJtADamRyLXNYJZNbW3
aUFhls8dSNHMu4zfmXsK69KgWrMqfo8LZ+xUlrSChA/Yz6YJItojmuYOgtQ8tix0dKNZ2b2VZtId
I0ulh6TP7OfLtNUnGynZhxmw55OKMLamw2aLdBa+8LSGbkG+tnlQlc2IJDGXpb1KGyRPOwc/1eyK
6ig/FOaSH3BMWwtNLFePVZ647yq32ZqtZGZNJbSAI0ZRC49Vqsp7N3XEGz7VFl3fMFvPBQpjSiRJ
1ulGQNqFLKYYFuIoSIwDpEMfjnyHATbc6GdcL7ieQpB7vRujtXsMrKqZr9xi7ZLtNFEfqPkAbjOP
1Q3t85lsWMBCqE7FtdsO8jhYAVO2y5p3Ee0hk+/5zniYrut/wMX+PORj9OpRwfM9zXXbGzWSwAdS
GgnfNXPEtVSGyLErslpYj6ttUtziSPYKRZoH+X1LK5RFiw8KxFLyCKMdTkWoOky/IQLLXWsZ1r3r
83ZVVRkVlK7cXodO9PLGiTF0XzWibKjqnSez/WVnbdBB+1AGw+7Vyp0a3WGazuUnD6+LPK7cdZfC
QzM/uFnvvUeEGe2KoRMPVjbYYIv1R51N0Um27XoYdOZ6OCOJgNoIVHbWi8dGVlE/gEMi6sIINYPF
D7I3Z/OR7ccRemulAyXEJm0QRMZ+s0TXAjAfPmOQTFgNKgJFH5ai+lYQfhaEMZS99JWjVB6x4BU8
ojU+ZlOuE7KGdxKBMFsM0xBte0WM/Yr/0dTitcGk7CpKpsEk9CnUE3WII59phqHGrwcReaLVcz7T
0XDGhPdoqsyEdxcvSdk5ALuW1Z+ZFTfXimSaeAzT7CUPOmY2c5382iFQNOymuyHfxoslVlKYCPMO
bAZhCUMf+34+qWxor4MikiK5NzOcVKOo/4Rn175FIr03/CC6bxEIFiJ4TGzXMz+RGtcifg8alBwn
Gh3Brlrwhru+v12YQdnbFo7B1sZXpY4DhrkpegG3wMnNFkfL6tJsk7stwlG3dPZlbZNEFKCYMYdJ
X5F6U+KbEuh5xA2Ikc5+9mlBjhHLkiQNNWBuYgdZdN1js3oXTj0eO0XEMZdP3TGfjLbfCG29uNYI
TRY23F2+lOFVYCesXoxMkNCEDfmeRUvX1uJvWZTBcC2n0bxlLk0HqAxveq/cpniZA/HiFkFX3ZA0
7z50ZQZ3v1c6jElFiQD3nPE3NcvoSxZChFYaAubCItt1XpBvQznL/QzB9EiTNG7nqRdwAdopQz+L
XnFwVHGLsUIxEw01+B9FH9b7hQxnzvEck9Zcv0QRnNoSEckhSPSvzErxDSmCLzAc58fMm5ko4RG9
d8qg2Ni9Jx8UzCfKn9rfeZPAaHCwn40iwHFSK3WLb82C/+jsxdi7iT1hJu4hicbgpo1yes5OPXfR
gMWd9KmMdopcDlzCkrWLE9QnOmt3KXXD1UBU8xU0B+PoRY06lREG+Y0D5ZibhoFO2XnAlA0OTchh
EVYuhIGwY21YIeW92xXbgKqTrt264xDAzdEd633KJP1USWd+SBsndmoHY1pDyUO4nhDOjHx/SiNY
A+gi4dzOBhEuiG6KVka3ODE/DLkgi6auzceSCKUbolv6F3uyjZtZtBVBNmHAz2lq1y/9WEXUJba9
XDGg62A/9s3nYqUpMvogkJv1zUzMxuXuGGjHOJuImWJO3gCGtrsfAm9FX/Ef1mYQvBulAFlesX3i
O5mESKn2BKUQIzMH2tzMSz8czKTMYg/WQMzmj10PvNxDkmb9aayxxyFCfGejZ4qt1qzW3co6zYV0
3hOJFe42adT0mYp4R3UtqQRzs97OJUZcfQefNSGq9MzOLwUePLiBGLkdHIFvnYPIqnmr7BnTY11Z
+gZLqMDatIS6olZWPuBbt+0983HUZYUHBbZNM7V4t6BoyhMLkadVCLc6Bosa8TUh+XiPhVS3hV7R
bhOY8S1MYzIm0M45yaH3M4ONSeItFiJxeTVKZeNc65OnvckHK9vKFpyiyLpdgFkMEkTei9zp9Wvr
h9VpQSG2iRjoY1/eLztUK/xPbBf3Ph5lLzqdQpa4IxrXuMq9tfBjIxV59BVOWHrDEP+M/Ft9MnDA
uBYyvMWoScUcXsmTGGzzc6SVj76Z3qW/KjtGDp+U3w7mCceXqL8yOmuxhyO7VrR3ImfoNGwJg8op
pXFL7pI+QrXdjg1tiJc34VvSVWzqSONBm9i+Z8Q5G89iznkIChSIXmxXroHziDJMnZIKaQ7OW5gJ
Tl1c3JGshDke5XvUu564xjSevy/Ru0FW9AR0iFESTbXzBmrQTGZUW7VWFCL+6HI25QyU5iusn6fH
2dbWMxOeKhYdMkK0L3/Apf+RVvQzXkzr7NHY2zTQdkAbvf7/P7TOQ5aAwvd5gbtcxDBNYKI9fVrc
ZVCfSQyC9eCKiGqkgRJQ4oNTcvj+AEL+G7rYXwmnUMSwYeBCcAnjKn5CrHXmW81i9+nRm2AMQQ5Q
TGGGCP/bM+7dWUqxmbSH3Mmz9Lon76Tetb5KzmSjWM+hOVhnF3bG+B1F/m9uS8SYHRGtD67xFzpZ
7QxJkxHAcsTzj45s4vSHu9BQk440x3Gf21Q+g1gojowxbf+J6/UzuYybwcf7638owf8S6VzPAX6A
48I9mStaocLqZoRJqgtFwQPJZowbGbmHznMZJMbJWsvv2kVuhequa+07glWwOcaVq8cnv187aPwD
CQe+EHx0jbncP9yuf/MQIYBZDFZA/+Ge/Ey/G6M0NxwjrI417nYSU7dpUCvtrKVogm3UxXUr6p1P
QACRuuX82PVgFV1GL583k3wUgK3/sKxWzOcH3Jj1BMbquAiG3cCxOIb/vLANrzOWgbrhKAuDsvHC
S+qBpF4VEI/ahJfxs7Zt9QGFzTm1I/1FrSFOHSwUAnlM8MPag3Fn//7CnH93YT7DSajVTKD+MiMJ
oPJIQTTosfVTKtS0ofdCWaS1DAhxyB1VP7VZFbonfJbZMSanUeXV6Noj1KwRgfGF9ET2Nd0yEk3q
YpwB8gMmvdEOoJjyPV/ZV1WCHmQjV6wH7hFvtiES0JKSGfhwi/S5//jelOZCw/laVhQA4wOw8WQl
R43FMt2vddx7XkP4rhf8lvEVCFo6oL+/HfbPgzKeU0B2vG+BG7hEyPy0AWWW0eGcEBgHJ/PYA+1m
gZQUDmurU09c/YW9BT9xJMwG174Fe8qMywJlX56myOdupQ5639Xzv4oLgibYXl2bP6egmtPdBR5y
7HXuRLIhKA0hwWl+bFIQsDgP2pHsybGTx2VeyaKeXQLe+OXMABPKv/i4fNn/zab+YTa1ivd/WBZ/
IZPH71X+G9mM+Z9A6O8/9cd8iiEUWDLNBjkxHgRxfuEf1jy2+wuiCBjjrsmeiV3BvzBoDHgwagmx
SnRXK4IL8/oPDNr+BfJ3yKHD0AtySmT9Nxi0xWf8uN2YvM8WQDjz1XVYRVP05+2mJ0i5XSk551o7
HBI64aRuHGJr4zLQI9olb74qprHG4pxt+a3HgOWFCf2Eriyqf7eB+o+n189c4fVqEDeuIUmuyeG+
Uvl/PNVdXuUyyobxjFYERBb2L5S2oPHxpBt7UmRH7Q5vwdiyMUoR8qoRTMcbQsht4MaE59QfUd+b
d/yODHPFqrJeFs8IrcPse8k3i4zdaf/D8/43VcDllP9hu75cMT5JjAQiLzBD+yc6vpsH+Irg/3Mm
RTpNtz5Z2C/gmKGz7zEL8EBbJ6tAYZ+EOJ77M2kGpUn1i4MZRI2x6T+ySSkLfkjrEQ2QU8j14Kfk
N0oPo850TecB174SKsrUlgE650DWXdMXg/QAd/i3uYTi9A+1zU97G18qcKFi8iB81sZfSpsAPrA2
oAedYdxHtP0MSzdI7FgabQ0yiSo4emoTq/r89zfzp3HIev6uI1nOYtYif6yX9UNNx+gxdVuV1uc6
BPcgFXg41woPScL7Xv/+k36qHi+fBLcbmUGI/Ilh758/qUW8uHQk/pzD1nTfGbVyfCZ9OFO6t9nO
7AispUSfwyYuHE+Lf1o0P/th8S1t0/ZsdwUa2B1++vggWItCWP7nAM73uygGfIGr9RqIqla4X9KY
ziaP/qCrDg18VzbBt74ip5bUXvdmAnUxY0fT5MUF6UkvDCBsZ5uR7fCthciyRbUhyIaOGpcRhONj
Nv73d8/664PCQZptg+g0myLTZU/78UGZ/uDVnpcYGOAnuInKVVptGWVfuzTCc51eIZ4tv8CXbG+m
pSPAtXGnnEnzGPzWB8vSACHjKQF0MX7LpYMbiNdmwXcF1H/cS8j14yp+fDUDqigWkR/hwII87Ofp
Gh7CuYnRrnNbUFwmUbjto2w5TD1S230/DkNMj2k+oNTH2y7LMoxPrBousGwPlUtiQVl14rGtPEF1
U+n0kybT4wSZFStfr2tffFWG24RU0njAFT/f5D3iLkzJVH3WraHuKONwEcf/HjL/knBoYwYgjp7f
V492kd6nc41dVTUE3blPuufeFoYDnQkpmpXjprSV7rBQCeuwuAEqp7EzB/cqozS7WdJpjGIN/iVI
hpjzE1g37v4azwz8SzxjNR38Ch7WP2FVSowXzvbBPlHdcHLBFJ67jKHUIQkM2vElK6GLOqYcNzkR
YL8OIgAXbZV9IvO3PVldVH3kY+vz3juifEJuMAWbsXNxlU3kEM/chwO9WXTXaTHtAE+7vWVN1rir
vMAC4dMEviObz5KdUA4zhTa6Y2KTmtg4NP2Ro8bGbtws4AD2QfV5EmZ2bcuoffKc3jsMUWHYe+WL
5T3EiXWHYUWx7Ef0y3tjmsx3m6CM31Tatl5MGwafvE7tMd1P0LV4ObTezemIAFUi7YNl6YgjmhIP
tbgrG260GHHcxdPAiAGtcDhGMYxlVF8lsdMbtThIv6QsJTXpQdPnEEknTRijrCTid3od4QgP1/kG
fcpSJQ+DZvaFzVZezbX8yFAU2sub0og6xYocsJU3X+1ZFL1Dp98PQ2ueCTMSJULyvFsOYwRZ/SQu
08WCeIYnE0bcqZgduuqBZ4BxT2dCnVwyEVLsJwnnYV+Vutv52NqZsax6K7nLGMkEeI6A62TAeFXU
3/iqd1adI6ks8PkGzsK9b2RFcjeuDQjZGah/WHBOqcQeir1ExgsGHhG8POZ+bCSk5XlA0Wbtxo1a
R7lgGAwlcB9g8KUSqoK9V6cAbyGY0RLXNorxWGQrWwz9dqrguxoEPDRpHv5GABvg0NZs7P6QuyEG
Kp6RpMlV7WAUAcpc02Mt81ExV5IYfqYZKRoJrqbIcqWqIWJWvpjBjpRoY89eOx3ySuYKM5AOXjKP
1f5ktILGw3H8cq2FhWncMVQ1YMYCu31CDxGJkyOjvsIIr/cfl6HH2L4wGtsiUC3DUp55op31BxBr
fMM5jB14JHQY+6HlCoj0qNJlF1rTEsVhgd7iVoQzS9vgVZFb4iuHKyQ3XrVNE0Tz24A0y3aTX/hj
9VI4y7eqRFyzDbkAAgTwPO1OEFncY4r9th/bZdk527zJk+0yJKUHeCPb6B5L6sKNHQJ4mSCSK2pc
w0t091abpBBR8TNqd9acLc0pyy0GZYgHSF1a/x1kAhx9WD4pwaQT1O1l00+58ausmfmSGs57BE6x
1OhqNuHoGs4zc1l7OPst1ktYBXX9rTfUHEmpCkp+IBIOdyvJMWF7Wyx8hq66WTAUUdpb8ms07P2z
W9hIdKaELj20WLz7oZ4Yvip/oUMRA4DdtnIIU4AKlewuo8NKryOYIi3GJ+X5+kuLFdVxDDQDpLAE
4yCXKOH3eFXDGPXCN1im1nEfaPCsZ6s3+BcEgdAz9dbMRIgY+yI/ysm29akOUmRml4FobXbr4iyK
TsHQVrA0p9kFzTK7dTqf6ZoLa/Dbs645wZiFhiarW7BLyi0+xFNz6lWU2PeFHMry0Q7ryD1NboEA
qJ/6tfjE3+feK9EP7Rot+OimWcB1Jlv0ywEP//XLS0Remv2J62oFyI9X8y2GjhRyyOvAQHFUYqXA
6DVl+l7LgFdeDlQF3wU8lt3X2V1nubPEXLLNTB63XvthAa6mNrk5dNN+MgN8aLA/hEzN/8ZPnW/E
BjJF1lon98xvEmgtV6Td5sQ7ZB5w70Tq9/t3XAXvrfnR6SdTXaeUucV1Q3JU8RRyWiCSMa1zF6Xd
mwvu1G2IUMvtKyQaIJowGrANnmXQoaAhZPfQYktRMrvpZnwccZgAUDGbI4PdsfykfZGqo0gM8du8
ROsekpMvxvgFA7VdzjwL4rgvok+GmYi90C0cssBlm5slM9e86dV1JDDG33q2tMkMrzxCMDHqY4ZY
gGbtMIXhNVmMxIlOLoOw7ptgQ8Z+wGJJ7fS6Y+8KD0nrfhqXcccho7trSw42/pZRhb0SU8ORUC/Z
Fb/KaIyejZky/WqJeml99KoGgRawCsdTrm1+1YTpyUIEIcmup5bHQoBTiQf60oxjfzvNQfVUjKrb
hGQTuGIaveOifR5OaVpqObSEwzW3NbZBN0ZvrmlfXS3G63TWbRYTVycyEH7CXkxkbOQ6Brka8UZT
GkqDHkPMvJK5e6rSzso/A0M62JMvVGDzS9s7gH0IipjxZgFm/1dG0uovWWoaY1wFeEzj9GVaD5My
kuUgEW4R63YhKOBjUjj3hHos3ln4LSFjXTua/q1r4RpHhF+h1Y75Ck9NhyjRsAgmPAJiiKp21sTM
fDtWdigxRepY/aU7MXSfsXjG6r5VfvdJe+s4OWN0x+uQr5q2VKj7OqotNli7jYp9KOBvEBLyZoeD
Dq0No/PgBY0GRAztpRDIcScLx8cuUYDQc8qKJsLI4WnSOACQ5E5fNjeBbJn525NZwZjCZmzBxXgy
0tuSuDWUFwrDY6BaEitvqyrh+iUplnuVhWW2JVPJPM2dy3s/+37AAB+DyttL6fw/JOUfkBQbihuA
4n9m+d5/w9h8xkvpJzDl9x/8g9Hn/kLLwfuKVPoSxUvn9Aejz/zFw8zTwrXR9mHmrcDp/2P78leA
KSb2ALByVwzmDzQl+gX4F46gBeOPIgEa70/Oxn/rdHyh4f/Qc7hh4LqOg1UUfRF2xxdW8A8tbCUc
hbOjOSMerkn8G9ZABEI2tHO219W48kksJ8YHXoq97v0u2jCklCcEflh405LqIs4qEgYIcOsrb5uh
WTJIUaSekNHXlpyVO+3787WYLXPr5szrCQLHzWAjDIWRnTXj/eWv0XqGgwBuF5C+0EMxgdO+Y7y1
HAzLbl5hwkgcWbvsDLZpImhalpfENpjQu3D3djIiHmEHUa17gjmG16/ZEW63Je4weKeOITuvRPxc
bBo4z/hjtRg/imFKtkNWH/Ngyb8ZlpV+1YuR31KmB5+9uSF7De9B9wZLFki7VqCo1oEBsGcdvJTR
oaG9e2Yo1fWIC9Id8Tr97aiVcbCSAmcYM3GrTdOP047CodwTxoNbPeaFaTxNekAq7UOPoLqbNlFL
IupYec5LKLnNlkF++GZYlTi432EqhPr/aNtdurMj7rybu9YVNkzivjccf9/7i3jA27GBcR1KGpUQ
lfNolvUV5NIWzdiSxKUmEddmltDHMhS3NV2OuZsDn0gwWbYLVSykA1CO/mZo3M+KXevJUqoODyH+
ztXWhuaFdGQIy0ONE9vrVJX2vhic8ABpBlfqEestwpnLfDs7ZhmLBt8QzxvVI1EUYbHzL+KWVeYC
8FPvXJQvwXgvViGM0i5me6l57xJf1MRqFcwwhRrerFVEA31nuhtVgbk8KhsKpj72LsKbDAmOs4px
mKElaOOK+sFbpTpEiHxCIEys2yrjmVdBT71Ke4jnpOkwPHHU6H7MxurjsiyKR2xKzbthlQclq1Ao
9ZtDWTjhTrgaFT+BSNvkIi6KVp1RgYvPfli1RwwPvlpJZOzJ/0SelK1KJRY5svpVvaSWNUqCZIyd
FXp6SxCTu/Vr76FhtcVYd1wTz0Xgw6qJQqv8eYHquiHH0NhnFBQbb9VPaYWSKh3QVFkw2q+qVWcF
oMF5vWqvvKptb9GERVcB/J9tgehoJ62Jc/Ki2xo71s1FzDWtuq6WYh8f6gwD74vsqwUFoR1AgUNg
B0BfmuP1dvBdMafWC1krU74nFU2jJPOsxUVXVnxXmenvmrPZQA7+ZKNU1E8emRoo0zyYG9ar5bIW
dqZX5Ne+NIMHeD1J9mlyFxRbFNEVvkrRqjmvYOPx+WN+jgCuPkUIwU3iAizy/GTiwMFFG294n4kn
qYuTblb0rmoIS9tM0MLc+iAZ2I9PVIOufurLfEDcl6YGcuYSnW/xVpa9XOotUQg1XtyZp+yYLOeI
dD5F2uiWZZamb8LKycgqMgvbKozkBNor3czYMs+LBcnDyqdVSKdnrFUriPfhDrkaNfORoEr3bWhq
soCDMsJu9Y17FGHtUA09gV99jXfBpk7KHowEpUB5KpDbGTW5hXTKz3U5+DPlu0PhZvfSTnixrGn3
v5P6/4t9b4NX/91Jff72Rb6r8v1HTY79/Yd+P6Uj7xcwEVyWV1MmFu76+/6YeZhocgDKTZ8h9cUK
51+HtIP8BryOSQQGzJxZzJZ/P6Rd8786lMN1ZPrDoYwUx2Ne6UK0R8/mcWF/hisrxNbwSrPxxoHY
Pma3Symh/aOdgekz1zcU1+6MMWk+Jhl+fkbYbcq81M9eKH02oT55qkSYLETqOPattAr/zpbKv5kK
wFFMDHBEB4rKIIE50tjXSz58dpUQaKIDiESjHQ37qA/zsz2FDr5rMgVAHBdUNBYGC97sOeee8PA4
WamP5hiK+7I06/te6+ERjhTSHRh15auctb5yDRmSSyf9+jPNa/JKBJgBPBw20WOVheJR2j0euOVy
UsAUyLiD9N7vvOXRtCr5iIldAoeEy18Q/u8M7UA4gdcOOuCUSBZ5g9zMxegsx5f3ecD/4z0IBFQ1
1SSYTywok7quVfdMQ7JPhBkMvIJN0W6ddLT3UYbeN/C67NGbfBJjTXckg8Yk6AAurX0TduoF5Tk7
OwKAQG7c0cFolACa57of6Bat6Qt6KInwcyzVkVYlv+nyGvpZ3Xrq17xeOGBXbvBLxZzzHJL6vif+
ayG50wVAyGaH/WUMST2vyzDEotLI7+0IXYVRpXeaA2ofFFO5XTJwJjJkobqh/LmZsnq4qcFBz5kl
/JDBi56fIDgPMM2jMu7xlLyDh6SO6O7r26Az9Y1LE3hkPO68F67TXBX01k9Y31RTzHFa7mq7JZFQ
ZnZ4Eq073C5WZ+47KzBo16r6gUbPeerBHt6YflS/zbjUPdvkbwNWTfWdUJ5xdvJgDyun/8y9aucY
57DovlOh+OzIfNxb4RqB1hOhoIlSP2jTM3aGI6ePDurcHS6XzU0Bvh1HzpraiewixQYCj+avjlMM
Mu6khQQMXLrG/K/Kyp1LcMZDrShy4ON1/W5OBGCF2Yx7ApQWKO/u+2iP4XWNJvbgOl57diW4Lpmq
IjZscnozlYI8WAZSlZF4gpt2cd1jlbbh0Rx92KZ1WtxTIZLAUBJoU2K+SXAAg4OvYeOEYpOkiqCn
TpN+TJuMiy/pjwGdRpZdoezC2wQWM8dy5X3OLYGoYCqAXKPSxHVADbdMwTklGF+OD3J14O8uZvzG
xZcfsdhzhFPqXYghuFzd+8fVxz9fHf0B4snCAGPGb/Ni+W+t7v9eQ3AXJQiZAMCmxAMoXRMVkK+p
Ac6aH2CvSQLeJVQgBIshyX5awwZw2xSvbCPtPYHZy5F0YpNMdYE4fE0qwPIDy0Xsnts4WJMM5Jpp
INZ0A5mRc+B3JB5U+Rp+wLs9fVKXSIRpTUfw/ZKghHbNTFjW9ASUzeJqWMjypthf4xVGo/PGfb2m
LqA4sCyojZcwBgDy18CqcZOlakza2O26hJ0kxwJ1Ec0HRGKCHSi/pluHDp5o6Ev0A3mxxms6KigY
xSUcolpzIpxLZMRyiY+gJCNKooUa+gDvzfokL1ETaQtM0e0rv6ELv8Uh7RJKQXzKmlEBkJqSWJHq
2Se/YrqEWSQgbSRbpIGAc9c7DHuPTSd426+W1lbGEvcQKqd26yLz1U+ymNLwq5uWSVbHWVCZ2nsR
Y6G7YBe2nlHujWHoi485aFurPDAsl5KDizb0fx37P3TsLIO/bdj/T/X+5V38qQr4/iO/FwEo7EJi
heDGYBy3Ku04z/9o1cNf6I4ZzTEGhZZ6YTf8Ib7DRs9Efotcd52NUgn8qwogmsFmYorUAY04FKn/
jviwnvk/1ARrZYLpGlcBJgBV7Wdru8JqbVc5rnGMDIOct7yYl+MQuer5h9Lo3/ADfpqUXj4moM4B
fcD8jzLpz6XHYikSaZbROGI7i1FYQ7KZM5jhndCjIf5hLMsN/fkrgX84sDiodGBqrQSuH7AHnkWB
8bSTHGerie5MX463vmc5V+5i4nCCU1D2Dx9IpM9fPpI2Hd01Kkrwk8AEjvnxI8nJ8zjeZHKEXEuR
gBl4f4PhOm5ijYEYDkoGcmfILw5+y0M6OkAhVTEf/Ebb9aHz0iHGBwi3jGGCCtYW+PBHzZoxMUeS
oPcplzcdbrSHLkmjw8VMSNCJ4aw8ESkjLfFQlVV0qAzZv1i9X19Fo2z3BrDeOZn7/EyumldTn9TZ
gQEaBV6KqXDXK/FgG+7yLcJGhuAbV74GbXprDnO+0yQoxHipm8fFdkpMe7HsiTMcYB5sNYjfFmdp
7iAwFi+2SW4uThzVnpqnjtGTjMyBa300m6TZdktnH8IR6absZr2zsoneq3fUdWD1zVm2oaZuLJ13
vIkNAiE0vGWJxKFDPkClNUUJRFy0EF85+MUNsMT0QOpcNmwo+pjXSVjeJnPqtxytkcZpOJMBODPB
kqlWbyjEvFndZHVL1VMHzIB0wjqPzawx243piPrLIIP2rRjS8BM6NvsxSs2IdF5TRR/oYFoAmkgy
DBP2TBaeUeQT+3hIRpYZOtmXEoqfF+ewNu9MSi5iedwU1BV22vWMYf9rOC8V8SS53Np2xdoryFEE
aSm8u9yxHrMJF+JkYtSQdZG/wxpQvgni+PbNZPYIFYAWEGH54kOuUvGszr7OkhIzRax7ndIvo5Fd
vIy5ATcno6a67ZAYfoIGYDw4jLJuEKqG+MGRZo8b9mga2zIvgISMxnhyCZU+JdCOjqOu1c7BFf7G
LNLhI1V+/wWndWKYl5TAcaQTeXTFLVDbLPG/dn0Va0S157qClgM57wOlIRmHpXudGERrlGX6Eili
97qEJAeDYE4mEGKK1UR0amO7Zkymub8J2v66MKTrbKY+ndGsh8U7AuSEfxxgu4j5cdb4RIeT3P2Y
6Mq+8ZlTeRMDsg3GGS5Lm7dn8uzx1gGc4Ywev00CrMOTRn9b2vXypZ+aOebJel9IFijvmP7Z23Lp
+0eSI4y47sPHrovy3eAtn41BAkgulEH2vKgzoY3LTke+fqrraIjhLIxE2rsP6BQ/BU7S2Me8pOam
2UnHbP5ak0gAiA6DgkH6gJs+Ap6wpVFZVDFuy1SU3o5BBz76c9X5y02oq3k6VZFJ0GOcUR+ZG3yN
0uW1BLWiTcAXRmkknUbTbQcYjMWzi0IC2xo4/lM46udg7lHiWWtAi3cJazGSNbjFY+C9obWq6wPG
Rj7RLlh+hXtMJG2i5ULCMLd5ZczhXqFcpgxMRe/v0xLX38ex9PiXTpuP6dnvJJEyjZC1vk99IyVr
pvU7lV1H6AhIoVGJ9t7sNhtIpzHrxMh2zN4i+7UYtOHtuwnmyUdwibbJ+qw3rnB7XzNvSsGYoTtY
kSrfDK8tn6JR5AdpYtbGhwXecTT76jVIZkPGiWMn80YPvnPlTSMwjl5GkE0PzcDBY0p9pe2kw/Fy
8o62MEi4nMqZGG66WevZZgBXQLFe/zpIfDC6edBffZs0+E1t1e0e6RI5ncBR2WaAYEdYPBLwVpn1
VT4hROvFgPZJdEnCyx5iOtG5LsPDYAysveUrbBlkXu+8NurjWplYuRtzRvWfJNGvk+S/ddAlnhZl
Aux6tTG0W4zwxMPkuO23VXmP1w/M3H1puzhXzpHAh99PK1DmWZObYFbRXeXl/ntFBUjubjVaUFUC
8UBS6UpBDAXXZvj/l70z644TSdf1fzn31AKC8eJcnMxUpmZL1lC2b1iyZTEFEEAw/vrzhOXa20p3
qbrve63d3cvbsoAg+OIb3kHxd76lqxcGTPJR2Hq+oRDEZicio71Lq4wRGaKSA9Q4XJLwMceA9L9Z
4L/TDTIIL1Kwv5/b/LkgClWnvzaDfv6bn3kgsiB0fCBpBCBgjegK3Zm/mkGOY5pBvxpQ/jWxMWrK
ZGYRHAYvsOET/E8a6Nl/AOhiwsJxQ6oI9PA/aQ4dpYF2BP7WdIYQfKYvhEjz2wQmGSYnxw1guh4q
DgKJMerXX1bjXySABrP4S5752wVM0vZLUtbNQlYwfafrCJgTPZrNED/l43Ueb7OfKO2/Rbz5rOTb
a5FJm8EXKSB8YN8+wqIuTu9I9B2cq8KXKHUyabBAWgbLJo5cGG9f+h/FFBoqkbYP9mu11aCqRu2F
LA4s7WdUa4wjYTp4WHCFIGFS+7BE9fA9B42cV5dD5/WWd2EHaj2TfVwkHVot9oIslNUk9wvgqMLN
/XNEjR141w2wuKUAI6e3bg0OKRKdzziKU54x9sSsBw9pPvysvGtjNx07col6DEmfmohed06q12/q
wT3vHJU/gGgaLmTSDrhzjmBV9jDhpMBkCiPIHU0nVDEdeulfMMiApo9fDLNp7XYgEYxADc62ar0o
QABadxMETa8+EWPK6EFtdVnoOQEZ0uX94b9R49+JGgDTqQT+Pmjsvsun6an7/mvUeP03f815+f4R
e6BkokSjCvylgxz6f4SgT/0fiHlCCl/sX7Vj/Ac+Ci4BBbNbWr1mAvzXmJeK03OoU6gcXdhalLb/
wZiXmfHbL82LESqjrPVsiDdRjMjU26+6LMasYGDRnkL5zT7pQtdqFyicdzYzJxIUjq7Se9UuN7Jx
12lLd3hLLIupXGy1L0Zam/CgVudTkg8gBOsaABiojOn7rANrF/HLtwCfyo1M9U0dWRZgIPnFNH8p
HnP8a1Lwh0wI0xMSET5vFjE/TSrfvytQpLycZ71ey8LX0ybCS/o0BAzibZOi6s4Dh3He0CSc4qHE
YS3r2g0FXncxt2Q3QSWME4VfHCZuDu+tLlBnTHSTM0ZF+mONwME5VPIvUI2tT7msLEguNWweupSg
Nd0U1J4ieaKG+LDOPUrZc38Ly/uZPg0PmfCkCMfcei5Myhipmx29bwv0V60PaJS8KGzJmCfHGviZ
vWpSDpjWbotHU7ty9Wx0bwMx20Dq9JVuWsFg173NneieTPSKKSLTobm+m9rVuZwnqhhZ1vTkyVv5
rwq+bXXpRepTUmkcRxw9k6elX2Kae0EL6F4KcVsu5RdaaijUNs3djMjJ51LW9g7/wwxmrRr2AyCm
bZ7XW7bg/SzgtocE9TKB5zoO7Sbw+dVxC7k1XEP7A6otFjjjkgSlj+VjswzeI0CZmoGrVFumqWIP
7on5lsZGOLOrl35VN3BF1tMEJqn2lvap8ZzunswLtZUc8NZWKAn4xlU3wP9Pk2gFx+Xr9sMyZt0n
r4zugz5vDvDS8oMD/PKSwVl4soaxcxq3Ab1HGT3IVVntxhPTQ+ol6blXNX24BSpHSRwnwzfLbjuI
8K0tbjXl23WVAxfeTW6GsVSTteuJzOo7YYZtOLl0ILca8bGXOt73EQq8QmQgqfhyaD2PuTEZHzFC
m5H+hP+vyrNUOc4mzRckQWgUogI9Bs21C5n3gsGjHvZTZ/kPAL7yC68K7C8eD77rKeS3Vc6xsvNZ
y4YeONhjNDoW+2JaKG3OmsKmFvALvbxYNWwqZu1Nk7wscThdSbfDMBlGeHkioah1GwfhAVUVzt1/
A/2/E+hJ7gh9fx/oaRIeTQpf/8VfuaEb/xGHZnYI68OoL5LmveaGpIlEbHLAGJoE3BpzAPwM8/hz
YJvDj0PeeHV3/Z8w7/NXvg0XDywqDCLUAP+TMG/OrF/yKXM7cBx8z+Ez5Dk5W95G+SgclwqBUO97
hqdZ8UKrIUEieZpcq9U7rQt3eSxkmut9v5DlwbxcfP/bjDFwfelA1kT0QFkeeLeyjSxaKehzG8BC
JMtsfujsCtvkbeepYIWEDk8X4XGEGlpv3Ao5LCtg4GIAwgqaRDExS21lTQ+Ic4Lrk/Ru0DjBcDJ3
2806YLxzELCPW5ondFribiun2cLmu0azS+F402cJWjq/vMib1xT2ja/DWxILQ13ScsMc4z9kUO7x
6jQ9/Gfdr/531eOshjBeGmaS6Rf4qPIqTv2YS85OXlcvbYDi8D3u9MhGb10KaZ4Hu9R0fnj/ln6Q
rf432eaWGB1D5oUK4geCZv/RCwsLdyagdekzBth+eaW8PC3PV8+AHA+ZhbcWSn0hEGZjM6uYpJbF
rEp4ALZqyqdm7hfMdsMBDv85vZ7ezk7WJF2H3SpnXsWJ1mtGw7ALEms+Qcu6Da5XJCL4sYrGsd9u
bEQ/wnjz/kO9rVA88hizB2Ma4sDbAr6Ft5swyUpg2xxE3+3JWoI7v86t5iM4qma9ef9CfFG/7nYu
BDLOSK/6oG1Ja45ymoVMPGbImzwbWo0jTpRMSs/euDZfONDZwvswQUE2/vOBLy2NRlcajh9pxEDQ
fv9OTNH1y2s0d+JHVCYcAoa+c6wF64h0ge5QBM9jzwj+2lfYnGoIf5YIxTntuhXLw/ev+NsiQ4MC
cuAzkrAR2TVB7dcqzXJSK2xkKL7Joe2aZQdt3RrLzQjmC5Xx969lNuHbpyNweeSUbPiITv3RC3Vz
LNBU7rvPs5P2ufcdLgOq8meJQtYECafWLLEEcgUv+v0L//6Q7CHwGEiiRmTBwdEsQqA02GFV23+b
7XiI1k0RGjgtyL+c1X3/UkeDAbNrY4c0G+FFlx0VH5eiBdak5QQe/7lHrr4KT6EO1Q/S1cSorUZi
L1Uf5nhNbBKzvKsD+8Qfs3J9LHoGeQIDDwJisrGLpIpviwLuKp4I2KrKy3JMO0xdh8nzUAh+/6Z/
ezE+aK0YYi1vx2aGfxQ9UF+M3Bknlm/1ojvuorMwhHsZoY36nxoUhBqxSyoom/8oQvD7izH1BKME
2P6eC2z07e5LLLwxVedbX1cfgCZkgNDPkSHAmyeD6OcICb7klM+kDJ+WTCJAvGu7Dp4UxpWzO97n
1TpBDMiiedVfkWcxUiEAR5YLlJ080vB/WKXo+PPkBkOckvhM6BugW3n0sfgp8u/V0DXICeXAdzdF
tOj1pg/mjk21LrR5x0PcA/q+tkSS8zX1qI9zGNTBshAs49JLl29swKp4CXqbleH4Q+sdYxkHSuDL
awD2EkV08echDT71WIwkmlQyLNmpo9Q9b6fugM/qXS0cULGbDKQAIRrdDUR3dy7NgugWfpmePyMl
5HCJdl4T1sJFLZ4gjy5a0BZ710PdftqgUp6bCZlXVN+DCaCgsxE66dcbPv/Y/1SjJbA+dmtTcI+O
KuIa9Zl6cD4htAdi8mQA0Lc+rlqE4z2ex8H4kUaL5GezuiCCwC0MGt4ZSTSigptKwI1c4JUqiw+d
cQWieziFF0WW7pesBuAI8qBw+ckADV5+BEhEXwUHf5wzfaunsOIwW1rqE73tO+wPlpMijbm0lU8x
P854ylwNTVsVXAt0CtvPbZT7I1XF2OZXEqsHXLSdfq4vMuzeh/NhHmb20ozPKUtH4u4sFxES9ByW
dqLNmdlGicvXpiJmZ+628WpVlqc/H4C8O+NRkfqKg2KHqg1WqBvfrtl+/ZyaICar0LaqE4rQgP8B
tAERbturssB45nURWtVibiTyxM/hPrhRg3e6yFafNRhEvnDpWWUExwWueoCAyo9V9cpyYuV8CjN+
YJowsD6vZTegpoDPu7mioOdTvCwqCVgWtYQtj0egN9uliTWnloDlyKYpkqCoPiKE1oThvhBMQYON
8guXbwq9yphdk7qd5J1RffILBdYGSbiH8YQt/bkFs3X51sLvYA2beQStAj0Nh8LkLpK0I4rdGg6R
nM4SBlKIXqRrbXK3gkqQv0OCSJqHKGIVzFct9lt1Chza4DdxEBiJAifdKhgVnzSu8S/fdaL1+BND
ilaM53E/evyWZmngJe6Ggn4qDrEpLjnkYW6juaWFp+f/OQ3YSRQ7L84Yu2+B4PEJLhFCxs1OrAGw
6JEBNrdXVDnmxDg4gQnKr3svYv/ng8cfABUtIbdVeOhvYYEzVqwgOmgAMtFLD82ek6SAiL7o2WN9
UkzI2aImtR7vVYSE1n3rRJIPOCw0sYHUcSXLoNrjO4dns5rgYchQT0UrOvNJe8yCm11nUwTjion2
G/+DNqcY70MGUKxC1oSqRwIP0lJRXY10PvmFbdfDP9wydhzMrhY59GRsoeLV8U/nSPoQVQr7Pka0
Ix53tHhCE5kymcEtDWzmacg4Ksj7dAc8e8fehp+UIn2y3vgLNtHI9fWAGryTuGKqVZMoTE2Acwi1
aUcRryVSXEFSiPxD41CzA0wvUM4kWuXjYjt7iAg9wtN5b8t8AcjX6qYHitX31nRRMvjgHhOr5920
XpQ3/lPdOziT0jYqcMy8i5nSePV10zex0d6DPDjJEwIx4eZEi7RY2m2qhiaOwQkH0YxHvIt5ymkC
+Attgg0i3V4ZfFvhCHuZCbYLzxwDjFsZr3QZqoLpZdlkiDCiuM3Ync2TFyakhJpKG4m3JTH70h7m
nj2UQEos04tmbVb+rgXH1mER6AtCZd/WrNKuKnkf9Wa2LWdor3vIT4RcoEQDb6mGNsxZQFcGlDlN
E9tEwYHFZ+fauUr0uEeHdeInKWFa/k53iYlLpU1D4TbWhckIM29ICU/Km+koX+jMIjqMrCLfguPq
ng01tp1YGuTf1nbxLyLobt5pJHt8aC6y2Rq4tOcgOAtogNkkZz3WIJzyVYJKZ38SedIcsloPLdtx
DhDYgi0M2Zr4sESZ5X2YUbNBKYgQhTyngmPHI0VN13SwMlyTYtnMsZZvQNSpRn7WIUR9szgTHawm
PpSAAVoEcLBaF9bZUKxrB2AaDa5dm0x1cuLZQ9LeJe3Mw8OLkET7cZlC7jgsJotVaqos5MMuEC9n
80So6bCCP7d1lU/m7xavEWzcNZ9N4hw0lgn3PaJHq7FEsVljEXZxN23IRFOb79NCFElvvQizXWcz
4U+krt2csLvD5xhzm024Okvwxaon2d3Z1SzvYxerDfYQ9i3teVCrsYTyPw7qG6KwrXXR4djlXdH/
CwVS0SpvvzCVD9Z9GdaNfPYKuaKkxNS/e5qglk4f8I2WzEAtqZkZor+g6k1U1LFP18wTIP/20+RH
4zVaRMnc0LW0K+dSSI7VEyYbI5bSRtOQID9DRSs4hccOAls6l6NJ6dduWjCzwObHjTfYZi/6MwIs
g3cXSKCZ6baAADbDd5XuAiVBxTx/wj5NUn2mM04yuQ3xiljXXZxjK9XtExq8zQUD2QQsoC6vJtt2
1H6MwxS0Cwnaep8WzGg5+AKjAMl0NgJ4rF1nu6Ba0Cwo8+s+xtfbDQuGFSEjC9Tu0tPQFZpJiD2t
F/Q2bfvgTHRP94manRrrllCu+TZLhG/dKGBF3sPQ08JtGOuEuI2fxI09z/dG60BfWVjlWB89y+vX
R12zqzcoFgfdwxqOad0ATAkgzR0i9EvWGYnmUAU7ZPQlIgG5hne7Nl5UNZu4bISbbcNu7dvoq1MV
Uf2cYVAwzrsy0EsLnMYXiCoMoWpCsNC9z5BJJ3XrR7uhtH0ZHJLKKoPrGDxsWR7GgAGUBHAd1ULH
zrZBmc9tdo6vlzU4CQQ8xvS6c3mYAuXuH9m3vcgkcD5OKWpvDJAaSMwIgFeiUv7DtPhKeTuVTF2C
ZDMOqeQo6DP5ZGOJPfHBdLQM2f+11QEHOHRiHs2xEhNI+LjbyKSPHQc4n0PmBSbCVYwTCCU53nJO
si+YOaVYaYleTdHFiuUcKamftSNHD5CUglNG17CZ1sMC/0cn+8FvTPaHToSpHELmBdztgvMCkCXE
X/Pgk1/3NbfiKHhK8YEWKL0GBSuYMOn3PZl9BKtYuQfP9cmCcZwyWXQMQ5RYVkSov0xAUKZk4gwH
PAzs1KmDVZzGHsaSKLsyBSGmIBlp86DkJZDWt76PDTEBsZIuZzRKbB6pybTEmgVSdWhOzqidZu60
g4HPtQd62c16N3roksltk8Qzv8wumoRvqfcbxgEH5oAmTpZeiLz4FoJbzB3VsD6d7inuYpOvxgmm
iI+uHpC3nKa2btBORLrkEn2bkWNRK2VyqVqFJmXJYm3WSDd1oJ0XWEVLGe8QiRwHpOScmr4BaJpk
Zm1ju/NZfmL4YlKkH+2eAGMITqmfJxgcGNYRFpPpWATxZO7eEYnFQqrUK+LmsOSYlb3IwWJhCTOM
CNV26C20XU//Wom15RPC5kusZKRhnfEbG7AklbcrnXqJoJhZ0mzF3CYP+IhgSOJ/kgCly/PX18iB
6TgA8yGv3EdtgjrYXhS1wzsaemAWQIuwo5iym3Uq7CT+PJboIZSnGTpr1XTmkY6O92vomizWWZVp
PnUdgOzsTNm1SSpsDZBt2kzuYgr5KGjZLBX9OmfG2MruQr1Du4csJXUTk82PjUKR4tRGA32Mblad
uU3OqCC0uZ9l9cx3IBCY4VGRSSXZwubNfCJgdE3Dqy5afiAZYak9Fchckx62oLjgpSdDDuqtdUM0
n423mzlds3FMOTSHBvRQsBVCkQWi72DyTR2Y/ZjIoiCztlmB4iVZDWnSiCuYnyYr6dYbxPNDjksn
477cLSotJjUE45GaZF4oc7evn0epAUfdY5PV8FK7nsBXXYqZIe+XMZpSkIWIRpchX3XLXpDbfCEn
QJSw88zelbUb11fI8aaj3qUS+sRwzi+oBEkthCbeLX59Fdeq145HsNUIdBAZaZNaw2mj5EvDOO+e
xm7IRQVhc1Ca4LJMnrj0JkeX9SbxXfZZZbumCCyUT8UG7cG8kN6LSS8pPHnPevHX5UKg78dQPUSO
cDzMLqIJT2PmYMq2TV4znz61R3KNvokwejvk0BVIDH5WxNFaMzjZz2mKIcsJeHTBn1JqFkjTlmXN
3wTDqvUGkoWNilCmMsoRBkhpb51GzDCH+2A1jJmtNaEbegMEyRTdEHJNFtbNjinywxjJEY0GacP+
SPok5a3BnjCdiTmy0MfIO0x8yVFivwHmRRJCDIAMQbl31oYK1VBTP7CdAoR/+EVdsppQqYjJwakK
/Rm8Vx3ObP1TsMVAzpYyIo96/fTqUZrUSlpVXKO5gose3D09jr3ZGPVk+kcoAPyQSkCwa6o/2N6M
jC4LspqK248tzUJOTmg+carlVF2BtfdIXpepQPg2q+fhNphRlj2LINjK0wisJTJUA26L5Adi1iOh
M4C/z6+JPd0Rq4q2NpmoQTkQZ6bXqhFB+5KvtC1GpC+uSPgHPEDpXLnyJE5HUwW+FhYyWc1NN+s8
LWiytKiEoWYf4Qlw7o1RwUanSALwuZ2yuuaV5s5gbh11DU7CEyxqEq1PrJkh11WoaI7wg/B+15sF
3Xf2muY1WgiolT2jS/Qk835lMpCJunwSzWwqdAD5JnLEiEawhqi4m135ftfoX/SMQHSjeGvU3eBi
HfWMIgw9Jxiw09c50abOhIiJrNHOYsop402PbCKv9P1LHnfVaFNFlKeeaee50W9SqIuq68jWYDv9
gHHwi3zdGpJxOkfXf3opA2U3juUMjBhNHXVWXex6waSI5mvuJSY+NYEnRpJCgjWx6/1r/egG/to/
huJOm1r4bohGz+9TqR75CDmBHv46iwpTjYshq1x2oq+9jM8QgQWHs3ANGoLGUHs+yOBhlG0kt0q7
1N10IcxkI6bkNbHnNTL/nH3UXWpKhDr0e84EoKgTf3r/9n97K4K2MImtYwvKcdc2f/8LHmqGLaPT
KfSfdA6jHCyl3ZmykMOVEur9S/225wSN4ZhREJMgROiP+92kUblbk0A9xVkkhuU0WaJienTW0Hwi
QZJO/7jljkcoQOCRJnDReWSa4P6G9u/aXkQp/fsnHLJMjNIzH9vNkBPZP6ZubM6sJCbfJ5lY+PN3
6YZ294FoV/ln7z/78TIzNfV9M8tgTIqd+fGOnDAoGKc4FV/oSVA6LllGlyoCDk4EfP9Kx6vs+kDI
GMQiLxMyQTpuXpckhqCBCufLgDdYeaWVNKV5Dj+OQz4znjr/MHh8i6hjaIJIJG1nhrw+Ez7aR293
kIaITzBZOqSMmBOBJMWnlTBHUFx4r0nXSlQRsjxdsngbln7Gyfj+E//gi/76BZJqYYhiC6SDI5iq
wn17B1SJmXRUWH9pM3tJ6xNmWWt5Qtcji4vDa9oydplJjQM09HnpP5vilq9Ny6sKEL7NzqbXxang
KLBGtP4XvuIGjCLVwiqjmiOhL6cm6ncRkmRQBnKn1ETrcPLNYYnFQoNTZ5bYfPgbjKxM/1WHA80j
B4DyhDVGSYvuJCKZd/VZzmgZgTgMTkxu1YOyJlhYHf4QtJFR4eGdAbMltwl7YY54hdkhtxW+Nuh7
UnuiZlliZUsPB/ygyfhcxyTLAIsKIondwz4wbhZFR2fSHWccoi+yuqQt+/7y/7bhQmRK7QCLvtiF
1na8tQcqi8yy1+UzgBRBzpoqbUqgeNUmA/jZsn7/kiZ+v3nhhNr4x4wGuUiIiEcDGgZl0EL7aPoc
p8DCxMmQx0F55UehWyK/39vcAdoZOKMqyJCJSQotWZm7ef82jp8c5TLPJnKiFct/Rcdao3XQ1hPv
MvtcNrQ/z/Hp0NUDLDm3u3R7ff3+xY4jCJwlJBPpFAWIzcKgPtrkIMXSHHWp/svYoif26Beh2RZF
oUxm9f6lDKL41/Xlt4Po83BwDJm8CWEfZQcpyjtS1qP7gGcJxtAJ7Uud7lPaqFS6OVJbfAsMvCv+
J6Rhw76cfRE/Uqz5XbRRtHVpwVDymPm9mvBqoY8AE5UMO0+pUHCK4KvIENQ0ba3ZMm2ASAcYNJ6N
UWDaxID1+enRcoA1bazS5ywCkmQmRc5YmXhNQYBZ25llEUflvm7s1HtVBvpb9O7RerMGKNcIm+8U
3e/fJ6Y+WiGIcwzzA07G5mTGbth8chYq2+vj++tt0NNv15sA5ocBgAuEf4mjR/t5ahQ9VcdL7iOv
+XGtwad1WmJsaI4mQj0h6HX2LgHpsAr1XJsu6c8/deNgOgQWQFr/k+8hnmEGGlIR6VwUlugoWGUx
WOtlz6caMMFSVTkBWBwomE5K9AspGleC2rj/OfhjWmSGSJYsXL6dNQL+N+7HpjIvfPULrmL9mI4j
MmYuPDp0QPXO8jPzJlG8SPnH4Ujgb3a6y01j+ecIjS+SvVsw8+DcSxK6HGKzOPC8m384b6O3r88I
FjPJt10ASxgHG1Hnt2dCyxNAklLJNzmK8FPR1b67dxmPngZABz1Dt9b71JvjiyXKZbJTXlKfYuMh
H9ENgVdUR0PN0DQV8LUXKEyYI7cPCfVrfyPnfsy2WTRCw8E+pmLU9m1UXq+gHqNYsmWWE3wY/aS5
yDBAuuJEylaq9Wwsd1ZfiD9X5sjjeYK0kL9RsHC8HV3D8tFaLXCHWsJc2SKoheORRs7Rk5a4Cpdu
3Gm1tCfMxOVjxgz/XEqXKUFhnOA5RCZGeNqRX0BN+BfLnELZG9bWRnxRdeG9y/n8pHB09zcJPi20
MFIs9Nyiru+nUAyPOUBBcFC25dU7i77dZxSO+2eEFLq7wOt70qJkOC3modgzJlgU3CWGy8gUxLm1
GbxqPJd1c6Kxn6JhkxXFn0MUIFEaYTG301PX3K8FzCTSTwvUKezOLfjdW08v9ld30f0XJ1yxRh18
2OtzUF2UIQpoHrrsF+9/ZG+DNRuCsTLBDK1uZvokCkcboqH9E8JwxNsptOeb2E2Q0A5ko4HZdnbw
8P7F3n7QrxcLAcqZY54c7jgjwaie1K6L6+fADiswQrN9D/XHRa+uKq9GTwzUf2lT3TIihFbz/rV/
2/k/HhOsDiMbgvgxbGLw+7iBRFk9t7WRqhNSoeVfCQfg2/sX+vGb/vcY/vGUnusCPDCCviI+LiJn
tyrdEazMszM1fDPC5bjYNBQ8ORxIGX6s3Sr5mPeJBc9R+jHSFKPK5QEr2GA3o5FaAD7VwYcu6OLz
2mrDB87bnjxpkPqxqkhe0Fms1MbVjneLBE79UiHNdFnTnr0dXSOxg4iCxiPIsXGXKdMPokJnHCR1
FdC9KZnFOVNMY62Ll+eiSTWjhKHbO8g5PNmzFqjUxuIfciHH7KI3S2LSANIg1gXQu3ucEqBw1c8e
nMtnbzCLn+UiO4imkKfzOj/VTiw/Iwc47wac/9Dzwyf9FAoYpNj334z/220ge2aqOsCAAMdQAHkb
/ZwyqRgfZOFzOjA4oJ3WlZs5Aia965mS6N2IAOJpWGn0EpBFqJj2NNVpQ9/qalTBqDfwXq0PSAZ5
p2JdaJyhlvWlQgYII7DSusqXOrxcxHLAAUTc0wOVH7DylGSsDMaW7apnxi4FCrXbUMXhR9LGsdlP
Xv6yBEV+LUKcC0s6xad52qgPla+l3jVJP3xdZDY82Hgn3Fo13FYsNJ1pL1wNjB+5jfR+wocJPbbW
5gGyGaUKpKkYAYRFWzAI4Uy883wrusyzxfvToaudbBg6IEnx/uKatXvzillbtPAp9wOq2fDYZ2ag
Jcx7D5PnNvf8a6sVxSOyhwtEvra2r53JEArfv6LzFvjKhxZSZoG6BY8kgOAde1vAzJJdxdH5vVCF
d07bDK56MizWBY3KYs8gQhPp/bR7VsKWj3k668sc/sKtNcZi//69HCnqmXsh1SR8upELFcQ5BgN2
U+X3mE7V39OZAQN1e5N8abo1G3ctyt2owkBt2gxVg7skqrDZsiuywD9FmCTf0SeJY9zwLNxuugaC
aK7laFq/tNBrq8+uyiDvT1sh5utgyNKzFMtob9Ogiz9t+sVxf5hZV8OmcxCCh4roq4PFsuyLUltX
0OKN2/UUWsgsZ8vNMk8cZ4UPPyOdOL23+F2VlxVjXjJKUcFzla1EvGOcCma4DD0f/ZHSlFykv9Pu
XJ9llQSg3oXAZdiJjIu2AV2/GxHnNSNXEHVonczMlTTmtCkKb6G6mlTc95smVwG42shtnDPAKVN3
sIPU/VN3Tf4JSrZ+8XD9odUzFlA83387v8cfdkoMaA7oWsD7OQ7JwmUSWs5T+R1ZJztEmzQuvoLy
WJga8sqoqcLntR8gWdTW1wXdjhr06Kj+SfngX21YWD2kzThjxGhOmPPxl64SSKm+6tdQfk8QCBh2
P14IuveZvMxloPf2ipgrzIYBiz4UmxU65p+zCHUS9snq3P/DmvyLDxaXaHrLhA5jP+++vZm1Gqax
mcviexrawV0bOP1HV1rWztg/XHAuDteDbPW58urqDONi50rXIQdZKKG1GjsJAMn1NF7m1iBeQM63
Pp6QefnKWPjbcsP5LWXguwI+zycOZpqi8mjJxipZqrj1hu90vdv0gczC77d0EhHF6W0MOIKxZKbU
r0GERaDfvGSrHZbGd1dNBxE2/aMfy/TSDqfywUWsngkJp8AeT3nJcqcF8v4t497X/fZfMZb7RX3/
v//nCTvuGi15ipRv+ldyHDrr7xLq/l9XggV66n//N3+pscR/oAgCBTeOPbpnUNb+YlogYPgHYRVb
JyRLfxjUkOD9xagL/mDGTccewhv5hQhJcv9i1CHXBgPOh/5GpyAClfefUC2Ad7855UyLkv+jcAph
6cFdPQ7zAEdcTBcG78yXEc69vgW+o9bjYU2y+RydY9STrYaBYTNNyzNGWOGlX3otoCbHmT42zWCz
bZX1hDK9fVWCXGVSmYj7AGcGLD1VUO/S3guvMzn2HxcIePcMzOWhZIx6VtHT+dKoJIJXERbnoLtO
9NK3X2mRFafQKDq8HQoGx0wp1PrNVqW1zZM0oNWIZfYdXb7yPK5lfZGEQh4GgYbZrOurxneBzCEx
vLOKKjt3xh7t77xCQ7+yAoFgYRqeVy1SIxuUIj9gMS2RhI7iy6VPDQMtmN1bRqjxNVA3+8pZcvuK
BMgamd4KvPow1j0w2U4/Oai8I/RZ3jhzMFwlrnO/2ui3OwFolLr1YgvNECVeSBeMEYQx+HPAUW8x
8tI3MQAUJBZC8D+eP/ebTubDwZe2ep4mLiI6GIhtjgR8PTTlA7aoSH/PmLUdVDUXp3Gv9W7yJjzD
w8WhGnSHP5soTz7oIZtudZOv35ioL5+M0OltWgLaFthGXgeimG8BQ+dbWiH5vk1Q/bLnoP1aiWHe
AX8M92qU4yF0Sh4Dr2qMZ2p5OtY/fFC84dmKxSbvfNCYsbpw6xRXC47zIQcxVGJQvOv95KoqkfOz
IutMlmG5S9sGjRCQuYe2Hf2XNC6aTV/o/EIH3nSAfY62V5VVN0wGVpTsrKI8p5WcWCeCQvJCAZN7
TJc8/hy2QXVS5IE6T1Qw3alxau/jxMuvVgrMqwl/inGDsEb+Z6K9/rIYbHnnNZ46VGR38WYCy4NV
oMQFtTRsw3UJ86sU57M9eBHEtlEOoYLJlUMzQKO3m/divAwY/N3EHXuFeiJItsXqyW/DPKvrJAjk
KW514iKg5Y5+bJB/HqIw/9SqzAFQoPzbCoTX6Yw6/TWzXnHhTn5z2g1N+kF7TX9frCLGk6yXZ5U1
nKk6mXCfr/3o2m2V+7mm9X7Vph5q4TR2TgsMyioszHtJXp35H6SaLtxs8tiObXdq2RpXzFQ/MfSw
l80yl86Jq5LwqRXTd7+dq7MUe9RNBUzurAHCuKcjEe2WsHYfhVd+wyVdpVsr9dzPYVTfN6MAQtir
5bDatX3bZEEAiBDfkHPfYnK1YQpnY6lJ9b2drKB9Qum8uAlTRAvhNYr4W55E2aEe+UfpmssHTGCw
PRUAjG0a4hdFykuchMjPgkHixuDJ6i4Uvf5KYjF2G1069wBPzpDqD86bqT0wRASKEIQVGnayKG/p
SMuPfiJPg2XS5wG2jmdeWTW7Xg2Y5RIssciK87MQaf/9kot2x9E+oziOb6nqoZKtc4s9SUkBsWYL
rrPKLz+BKpsfQurMW+XCHuaFkgLir+nuSB7UDcJwWG4E7UXbMQ7exvHe10V1SPrJvmICKg+tvB2T
ZPxkmT54GQjntrBTcVqDve2hgnGa1/bYfUPwjjsB1TrZc3honAnRPukMFjrxIvqkQzCeG4UAcr6Z
wqUB6rCkH9a+KQ8WhGKY/IuPRc44B9hf0JXcpMlyMuCw12/WZhiiXRyPD+m6IKaFbbZCNiRtCXPU
f5tYdfZFqlrEdiFAnziO9anAujxCbxaPHNTvEDQJAM7GMEG2OKf/idqMfSZprJ8AjG83blE2X2WQ
gYRrsvjWryJ0OXt/Rh2Ycfttrq1yF4bQcmvVPwVFOB+ghEY3dh9U0JQqYV+PUWNDqf7/7J3Hctxo
mkVfZV4AFfBmC5OOySSTTiQ3CBoR3vzwwNPPQarULXVHz3Tta6OokmgyE+4z955bLAi47NwMEHY4
Tw5PjdOix/G3xtaTIxHvrywRzB1PxMWD8zec2khPOJXG9NimcK87mL3Hoteb2w6qwXWKrOxJCpP8
1GZFHZCxEm0UpyJAF9ZuwOJV+8agTN2ZhKwFpPVWm3hK1e+LFfXXI+OJN10T68OlX/Rniv/kEVHg
kLvQdTBwpE607dFDIz2MCBZQwvhWUej0RkdfWcNiupd7PvoyNhZ/nrs6aCfVvrIBQ6TMOqr4BsfW
yIlGbq8jsaPjyPZI0yKt35bJ1K2S2Pox78NtgqMhQL243GakwgTkSYKJmjsZmHUvEehkQHhcLdIn
ZYjUg8NY63UUaoYpGGTmgNHuOuESv2opDHdsyRFkZqJxXjLTTPyiHOXnPIQPxp0Ji1On+rNqGrdL
n0ofNS6iQ93Z0gbZOPRKfFF7Q5fCDUSp9pzPo/3IijbcKLKQ7+MhgVo4kBrqzbNkbjSEQKdmFu9l
u8wf8tJz+2c4syC4nvSIcJ5RIeAblA9IwSujlFWGDGVD8raLFglZ5mrgkBPuaIl8ZqG/eirTNHro
DQoRN+1FPnslfIqziES+q2IuaXeqLbIkl7ahiSHOTXw5DZ7mIY/JRptG6ZioRQAro7gdyMXZdUb/
YjTkiXOvBbpJokH/nnVwjpP4TQ77L/SbL3Y13ZXKAk1nGZlyaqLYN6UFg1okD6qI6gOpWNbDUGfq
U0br9IFTf/qGVubFHkpiT94AQHdNdqiRmcj9oRatGLptbk5iMQnrJpnHdImvkUFR4gXQg3XhcZzg
J/j9OPX2rejEjLnGDL/6ZNbsXT6MHDjwPip6aKB1XljJ236m6iGtua6uE2wa1UvNDZTaaxXPT9DY
BUL54mBLhCasM3efIi+7Uki3OvRNYr0YZES9MryAAxoyo7uyYgNLex8vcbjNF7ImSm9qxwU5ZwTH
49MmDU96NNDIGVDThrB0IV1nFaKhRPNLKL5b9E7lZjDbb9CgRvRIUe7LM0eyi/Rvk6SOOzOpLW8u
uv7EV04bZ42773OAoo1+BFIAP02WyOXLIp4ykgWZj1rksVziPIjpcA88QaT7WEqiI6gvxcNONZ8G
oFWnhqN5WGAqdHEyvumZMx+aNTK81aV+q5QTKeH9Wm5pi0oqqqE1V0mypyNC/TT7YM87hOfY2PAC
o5iEb4gzQyfonFS/VEjRftERGPdhGB6aQk0OnYx9X8lzjyi7+giHrPPnyBKvvWai0CT4aJuIIdng
pHACArXCoEnyKhhDvWZKEONF6NBfetin7F0P6YU5v1psDTmUv/QeM4FXY0GcEsAwmvJp2qVpf4PJ
Txv60etrJt1jKICZdx6L4aTI/27ivv83ZnkLp80vo4R/TxOtyPh7+6x+beJ+fM9Pu7xMLKhOIcLp
Q2wgIoh/NHHsnUApmTrmXTw5XMO08z9ZSkCWmOOhmqDNZ3G+ElN+NnEmLCVFdRjOsLXC++r8lSbu
Muz556TSkBFDEMsBnAnBAy3Wv05hZO4S+L/IqLKJtMOFSLSpPffPzeDoZXNIZbzXoLVpJuN0S1kE
kO+oOXkxBhEGasPqYPDOwO8PJJDZmXZdSirSE2LMO9JroBnZF0JP/wPXk+FpS5IjZsSB2+vC37Iz
CgWDHp2RLqX5ErlRD4U2PrLCNeYlc0fbknBJSjxOcTuVxYHJJwFJmTauZhwAaIP8opYNgojKxAA6
36ewRNhY2jpTvjO3pj52bpKkC8bOIYqG5AG28B4pWUz48h6R3eySnBlm6PcrktX+vmr+u6uG6cL/
fdUwSPzoko/+t4kJJAC+7SdOSIEZxDSbjTe52lw3TB/+ZJBZ2h8oigDSaxY6wR+koZ8XDlcb8kHV
Rq3354jj54WzQshsnPLszplYME/5SyG8zPN/n34QG8NzhUUOFFWL3fG/rnEMiMgOj2dQyGWk4BRN
eBoh40XU1z3PZvZus45y6woqDvmrjgf7rnWnac6ItspqT+7sB3uwswOOmex66vPjYOstUgmTZq7R
3FwmOsFKSY2EQTNRi5TLRtcK2afG0LgihLOpHYlxBVoIj+n3ueZS8GWgEbj97CxQBAnfkcLv5FEz
eCmrRU+mKvMxkz8PuUPZlFSuqCtkdUb6bgK+9vOCL88UqohqsBpiyptnxY5rdE6D5qaonYIitJ6Q
ENylmvI+NPx6xMDPeUXgctRByawsEv5M9axgl0JYy/sx66kL5EY8m1icMYTBKB0l3l4ZsbqbClA9
g2Ttm8begxTqCA/koyH1Poi6AhlBmn2h1plc0+SjRDfd+rLgh+YDH4EOw5O3wMcgQ25P2tYnA5A0
cZnXwKqdDilkl9qjlN+lOojZKqfsMIXJv2b6ebT7Lli/M9VhLiZOD9xJXdvPmY+gzjVQRp2ynKMq
PzskIAV5y68kS9C4MnTByx81NegFL0irzcxnePqYtYTZhPhGfWqYr7kUBKhpjeoZ4Uzhnc2w1Bi+
foS5pPA5OA/477vgghVqMRJDlsPYp3eQ8FmTMuxJnfYhtMMMmC4zBGRdy6ZeAEONNp+eRiSYPxrW
3lakh8tJkoiZ7lwXrV9bnAdE+Z2LwcYRIjsPI/Mjsgr5o5CN85DwoqI00/f019zvUeP7VVRMB8vp
1GCo17Oo42thyZ2SVsnwM7VqYK18KzM0CbQkRs3tAeThtTFOnM9fKNmp2VVeej4m7yAUOPYL/5eG
7NUGRSr9sbOxxmNiIEWJT6lVGCWowN2uZdE6HkLt58vxLiKbXQvNpNeNvF8Mds4qW+fQC54XvWnn
B1mJvrjIOat5GqAk4Oy0LU6Var0WItHNj3nM/+JTeNfILHK58mhBanyxPR8Xi5GHmQzJYBRcJxZE
9sPIjug6ppHHwd8+WzBGcNpyhO2ek8nmarx8GGXNRTFKfGmdFe8FKOQglC1xwOVvBHrISZtnbXiY
GcHcFW1KukQ9pu4IR9rTMMpssBaS5oSlxS8anY9UHngNUdxe2a00bRlMYoYTYQKYk5CJzOKiZMBy
TMa0pEKtOMsAciKmKLNrSFKyr8ncCECOkYo5R3kgc50A9k3OQ2ycLpeXhilxJyu9Gkx6jpergllV
9czQZAwRvo4/4BDFcrmdqPwDLEhchhn7ssuxZV22qvHLoznAHIsUToGyFo6nESTnXc7yxcqWDY4U
Z0uznQVkSjobxDq5j/2v9i4nwHqGc4mfE30BnjVzG3MGrm99cZbd5TB3/bgaRDmNmMh2wZAq4RuE
DWlnxLxVxO80V70i7UJH4+5lJO+0OxwCJftiaoTiBqBoIIOH8QincTy1VMKD3PTl0Urk6WRMxtYe
03dMkZQi1lgew0xdcVJcEZgupV1kcJ1Wi6EcZwI5N5bJSVYWWnmUWoffjhWWe2/B+J6bA4Gb5NHp
W9TXLX3IxA9TxsHTW830rE7WfJw5rSvUttmPJqoqqxxsf0oKGa60oQXEWXBTjBRubiOH7mIbC3v1
HLM4xl9Rztu642aCy4aALMHbDgdeAkQDriJseTsqFv6wcu3HvUl1JjW4XLTEvQ5M4AC6KV18azSc
Eo2hn9V5hXWHku0aTLV47IycTGKqNy1dlpdVueyzHYc4Z+rTqbeyL8o4PhrCEAhU5CMmpy3zs4If
2SscV70kVFefutaXUNW6kEGwU+VSeKvSBPso1vOtHYovYfHXRZ9izF8ziRLuJ7qUJxulaT4QDRns
bgmhqIT1VFQEJ2ZSfCuN/clatTUagOzDnEwgcaW8zRUAxcQRoZEEqltOEmzYJV9eMyMvBtekIjAD
x1ZaycV3m76raTX5jEMcANey+mBEWe6j+qzTa7Js+wNmKg6hJpNaS3KFovdBKgv8pVXS3caRjqIc
ZEPOABv30ZB6c9atQUik1wYMmWrFM4WQDnXYv0ldVX2Cav/QE7nq3Uibsi9baBIgKNwzS4seaxp3
XdlUG/IuceuCIhGaV6cN13yqD5If8SjysSKE13jtFmmTa3hqTiS029aefNK22OGi7KRnTOyDF0Ne
z49h7Gg4bZpcMT0xZyI5GQOQkCAC0CvdlWSSHXASP/xSit3+qP1/hUStS8RfOoK1rln1oxokfwSr
yJN+X4XmDikhOkD4nZXM9O5L/AX7AophaT/gWwd8QBPg6cn/a5L4fQVL0bb+Xp35JkOoVQT/L+Ir
UtJVPI11v1PGy82Oa1BLss9yZCMJ8unr/36Xv0u9/vxtrFPZoClQsf5V6rWMkaQnS9nv8pkTZK0E
nIz1QcS42r/8pr/3n//P/lMlRFz75aD8W+98k+VvRBK+/do7//lNf/YArDl1hvOo5P7MgKQG/8kh
lllmwuIgd2KVcKJ2/kfzrFnrv/CYMdlJ/dI4a+xMDbalHHKYDWu7/Rd4ojgzfr9OaLzpMMCfAS9T
FUTX63X0i36h4YlZTqYiDnonkbqi55suHkgaLzr7bIDBr/aGE1HEd8TyGEHWmL0EC46BWU6JzPBs
kpp6pXgXThJupZ5MoIceZ9UVEb1Jeks0QvM6XMZxCykJsULSYrcO65x1bCfkJCkO6jrMM9exXofy
7ZheZn3lOvbDaLBOAGdlG41ULhHY+Br47jorHC5zQ1uOCSW4DBOHy2BxXmeM1jptTC+DR80ktcaD
q2Enb0Mnxc89KCr0X01F9mrd9pl57Aw5RvKNbF7WvR7cSDy5xZjY2njKY0h91sYmxLmGfdHydpkS
NmAry5mKe4c4lAikAKUN0JdDyXIZR65QUU0ZsM6tIjzZ6gLomUUrn6dYaQ39KOBUAlz1+wEDLsCY
UJE/xjFnFEk4eGKMLBPL1ljg1GF1JonxR3tvXnr98tL3Tz+GALG9CJ2Iz7TWFy8zcdTXWKdrNUYs
gaecwL1PGGJzaxAoVUSz4WOITXTgLpDvt2o2hc0JXZy0l8eyuZVTG5iKI2nuOOgN+fQxsiD8atvI
qNV7zOB9Qr0uY/4gVegMKsHYmE49v1l1mgVj3uc8dOaYFPFWbEgSy460Vdq2avWCUOqu30JEFZ2L
/dqk78n7vT1MnoWZcFMUJYpZM45uEJmWuPPyyWcMn/l6x4M6NaOKABMnPDcFkQCwBLsa7Gluw+wf
akLWzUcQBNFZi0R7O8aDdUYDOryQVj/5kUM1RSbvdOZ8qDYzRP2nvJ3C21yt5m+UyBJ2xb5n2GyR
4weN2zrBhg2f4nrSWF6a0o00hVPnAnVxNnSS2hHGPTkLqZQsPtEj2fxUC5ss9DA3H1mXlfftun90
izCOJs+AJYMLumisyavmZdmXjWquoQFtEfR92e3HaWm2uOmiJ+ITtStnsYhJVGpjfMDC1oLWrRsi
qHrCqL6UUTeJpLIWOpEIdVOAqXpBTa4at02y0HiOxkMqLL9Ne52WUpus4xq+GQFDXXL8v3i2b/oo
Uq/g+Fc7QHy926Uzx7qHy3aOc7N8onAot7hL63eQq98U9n1ehxziwJFmt1AzPp7b2r5e5nw6h4ic
DqU+NdRs2vLca0tRbDC4qx9pxbpNWko2zUJo1mHMJ2qvtP4+OCLcKYYsghjoC0fQSu+BnvXPoHry
bzMcmG/a2CUGtaOdfRNSie0+4wozpQ5NGXOQAKZqt0FudjVWKVZqpOxb7D7zDTHOxmGcWgcS1Jwx
q+N7pRslRXa2GAtoEKQpyS0Ym+kwSfXUeFVEnzcolGmxYU+5yw6PXkISc1Dh9iCyhMA3PhdUUXCK
vUiSvdpox0NFHLavzYb6pFuSdtNJzWOyNPcpEt3PyaiIpZCdNc3MGNGy0Dgt6YPVpPpVQXbcEaMU
mvm0DX0rifZUSdb1PDaCS6Nv73Fc5b7RyNWH2bNpqtlJ3Gqhs7yLsQKSrEhElMH8qa+iNNIfo1g3
qOdyAgDHQmDwWpzoWgcj8tIZhL0xH/DCrJA98JDo+NKpOcBtjt5a2F/f85EQ8HYQR7UPxwBz6uTH
Q689E9Ob7GBWqbZL7Md8VCc6W4A9Y+t2nYqmOdNj9J5ikjZNtWrbHdmuzlnaktZQdwqgLdzKp6FN
0KHm4WoqiIsxnXZq3E131ai3tpdFo3YP/8p+ZzEpwS1IeqjCuGecICTGHkZIaB+roTTeeqOprpgW
NKBuOoVhZy9r022kYL5iyx3TT4w66WYYlR5mRWpPVuT0MwNXbcSVb+SIZdj3VQVh85C3FPsI1646
tUkL+RkZgtfJ04fgmXenjOa8B6XRevzQiFlC2O6NrIb+IPSJZPRVRINY4IMi0viqJP2TJZR6VCzc
3nQipJflThoAPkGTg9rsepxi+9rRsuwYy5WZMmj6iGUYqXj+K7Z002MlN/fsx1gGK00MVwmROu7M
eJMgS9rKyeKchdJUgWSqsUZbNra7SIpPOdjBDRq30Id6rHwDYqhvU3TdG673j5QW746WjaBbkVcP
OO25g8RNfRjTrADVEBr5tYEdwDPacriuSjnaSeM0J4BrzG6LSbY6c+YWQK+d8RY4cvMpWIIB3qyV
nLJHt58iM9QPvELsNbBwvMqo6YvyzChui5AIEkg11R4oDImKaFD8uZWTo4RmxDXLstp28N18vZ+6
F7WB2JzbFXMRK3vtWuU9FXXmLTwej8NYRPBrWigUui0Kt2Tv709FTL+nTe2XQi5j0Ctzf5/izEO+
OjZBFdn4ReyKcr6RwvtkUNoT9oNuC4ZO8CqS5mbAwqUE6YKCxdXVwvakJpb2RAU1iR6zrh/foXvl
rwKKGKJZO/ssYKsFMxIml9vea2zn35ssadfpksUmLGPaYfBfcIkcF9auuRuSTt7LiFN8sHUYbjAV
H5daSj+clJSiLo+lbWcgn9VxJZ3TjkAitU2TTd2lYt9TkDB3y52dxo52Y01UXugajC1t1HAFFSTn
Oppq2AIK4k2ZfsqbwN0EmtWWH50xomDS84ekjxSvn2NzNw6a8BIDztNY70q9wBJZO+oGF8yHkOsz
EgkGMJDfPTKRttyiJXfWpGclQXEJITDZJNkCDAhmXICO6WTVzdmSWzxBYruMiJBlPFTMZMs7W+qy
Q1ot0aZsatsVSPfQDJRsoYlNbJc82pCXfa0VknTnEELEQrh3doiY0CVoBKtk5e3cJPGmK9iaLpVU
emY+n52hVwhLyvJtS4qk3y0ETRLsROMPDwwJhLZwE7a0G6mbVEDGkvXQ6WqyW9Kw8tAufhfA/QLC
EQs3ATjjqklt8CDLYp4HWn8esQ18JAWGIkvi9KtATZjTUJ5NabB5GC+xOxi9wpiw7vdT0Tg7giMl
Ov/FPhTdfM4T4xWk3OPfvdR/s4bEdL96pv8ztHv7vWqi5LdW6s/v+Skmlf9Yow8wKv7ollZ/4Z+t
lG38gWAOdhuyfez3v0f7/XPvKMPptuA100HBtEMM+he6J5st5e9TBixPrEccpKqkDkMcXfvzX7on
R61KO6zsfIf7/mXMaB26NqsCZhLP+P/vG5b8pdyLZ7tQnonRVTa9NW+Y0Ry62bKDRRLqXkMcuW9z
h5RfZTT2Ts+V0Mxy7VuSQPgzOM3XHA6mX8UWwz67lY9SlNevrGTlOwlv0BY3Xe9rgME8upxkA2EI
UWJk3aE1tW/HJfEzuyuu8O+O/DRARhoYmKCVVBQxo94c5I541qG4wcKOS6/TOzfNp33TWsvZaEPD
r6zR8pR57B/UhGzaaJ7CfYw/19Ul5TwumsF1G30zdVJPVPqYrVXk8XUnJ8pVqvGaZGKnblngNIGB
ZO4WzweWt/ypR7XQaxNVrMAzUVjDGxlK7D20YfQbpATvCZkPV9lI2KnmLNDQyPPaUofJAdgcazuW
c+uNej4FCBo/YYVpPCSp4pPM1Nf1xZsKq86DUndInazYECYw+jwtQcF0YC45qsDlrPKuEO2mu1gG
pJtwjWHrJTHtao1icrIq5c6p1fy5G4z6mzGkm8IZz4vSFXcZWaPI++2md1ObZ4MX9vl1U2vRGKhk
73miFNlzv1TJOdNiNhQt5l+NsPvRrcmauWfeFt4z0DGu9GxeLFcqDLzkMGWZlNXJqany8Zkesv10
DNN5mgoNhg+V4sic0rKP8eCQQkd1vBc9qFlrxLFb5lqGy0MdjF2n2fWLlaTwhlJryJ/KrGTbkxPn
hbVGOeklYnp3UfIqg5NZN0dLqLaPq0fhw3PUHn5Bj+u2VeuSwI2QaK2lIq9LSEtPLQPGgS42z0ZU
TIQzsVWoqqsZJcdGHa301VIHCb9bCJgADXL4lKp5dW9rIaiYIqnu0dUqJ82cqit9TJ0jCtv0tQZU
ghhEoS5eH0PKpkjR1DKPnm5ng4D5vsui0u3xrwbUcBy/Ed+91o3UhQZgS78Rtv4mZC1/mhNslk1v
aXtJ0/rUi9C676IVLNvEwwTIDbDQQPGzsrtk5WGojPLAQDjZWipKIx8O1HyrRpyaRs+ua2e0A29e
zNF8h7Cb11jAtbsD/1RdwSI3M08jUixAPM0PJNMjFsElrWweyNmcuqJ+ibn+tgl2aySGiGH8ECIH
YXwx0Wu1UianmR3gZ4JsYKv0Wv0dOuh0G/bYxC6vLA3T2t7waOTH5zi0zgw/qDRRAgGzCmP7rE+c
g/qaTJYXsc7woewf2lQfURDMJpku6xvvtGK+m3uje7Smgi/Mw1TdG8MPsEM1BzIU12066unr5UxL
jY7ftkQ8kV2FScpVgvEVDYJT3Yz16jeMo5TYzEXkT7ozqt9IKU5wwxa6dUZupu+rLJzulAklaNNQ
EqpRD5OVwHHuesS/Hdg7cdRU9gcbmsrus7PiBHloZd4Q4jpfiVBR70LmEHejACMTc0bSwjlG+Oqo
tEFI5+KEKBfyN3l08xutGdNwHpGqBAYUtb6ZVvdo5pxtRSoIMxmOFiOD6h4cB/1Hm4VkQSndYHtV
yic3g/I/KqLVQ7ZshOT4ZsSP70cwSBbMfaby/JHY9ovd6LOniirx2nQ5tWV8GsR8CxruYRCEjQ5G
9Vom6Elx/9AvXKtdfyOP0W289oI5CFTwfF/G6FwB18AmJhHEo1p3U6tttCHedubyFJHo7hvyZB9N
hh1uHTJlYy2g1jPOL7Ws7jqeYz30vwqxV6KYd3qdPrZgT07mwD08U+zIN61a8xSr1OlF5hPmRn+c
YGaG1UErrfBWYbR3o0xqurGraGajZ5sxSagZq0Fn0GnvswKuHXLqYWDz1dmZiH2pUT5L5hiDUL+L
EqSQIOruKl1WEplaYPdSjY9G6XalbZwxqJO8SSd5g3YwfJEi9RnI5weYEHSyZVtsGPl0iLDLIZAK
DZ8ctSLIqkYdvNo0q/te03UmP+nyWQz0zkuMDxN5GsXydF+mfX1wrGyrgXsGIrhwgBNT2UyiD910
nLNjZiqP5kwpajlin01zsScOV9uN3IR92e7rYCoz6BwOOsVoQV9YVS9C7nV3gqVwnDPZOjSc+Nt0
NmWCXsIXWSmEx/rQpevAvlDf1YltfU9Uko70UcivlinhD8iyh05p0zc0oWAb04Hwek3YHlK21g1b
p1ulRDogu2XhfqAN+S5C9q4AjWbKuLBBccJ7UbSf8dyFgQwY+0SW6lgHRNonxB12Ko0IxLc+WAa1
PFaKeWJCmJ05rVCTm6Fyi1tVD+jny4oRoZTusjIjubrFp9Eqav29xVsasK/dzwX5H1pdv/UEQvnC
BviZKsOzDPfMkyue9o4qjC3zvQ+CSF5ErG3lWYSPo1LPLnEag2toYwYcxpCuGx113lyCGeYyZLZU
Rs8A81rCGTU6Fdk+IkeIAooE+xO/z3AHS155zGax1hBYx71WN+fDCDIFGbEa2oBRh/QxtVCv68wJ
v7cMhb53rIlIQC2sVVsR+tUgDRue6eMma/neqNDo0Tr5ZIVpdcY2xJQvFlRWGumtY93Yp3qox9cS
XOcrlb92MjEceAYVltuYTO1yriLu5F1ClFtcGoxis8J2Vs9jdBwmFPiHVg2VycWbh4DFEf3GjgTD
lI5g886cpBtTaZhlaOokOIgIu4mpk4IB5MTRMhqdM6ZkFUeQArpHfRl5DE59daqQ3hzIIiC1SRgF
6hARPjki6e5G5l5pANUUc2bnlNKpi2xjT6WQbRW5EkEy5aHHqLXSg7iZvkrW7zcKUJDHsUnGHRJd
8c0UHRxV7oV+tKxRutbIilMneUW2FlibVGHFMEgHueIGViuq2FUhZru66VIvDedwUyWKzcvKxXbW
83erZbLaNuF4k5mSfN2EZcOCr2q2gsbU68cs9KgZrqcKfKEkbSM1QjVvLy9p01S1n8LHY70vGlKu
mIMm0Bs2hS4jamsyfQut+ZokUHZxFfMfJlDaxsjb4XbJqPGyARp1ZQ72zTyK/F6k7biDCi69sBY/
Ifppv4+rgk+Yc7dxoFNu+pxxEJgUxv9NkvgMybnEoRO4oDDueIJWN1D8eiC6zIZaotsZsk7baZwi
v9WW+9nUrNOUqGhYbDvdzqWyxe+CY0FhuDBU0XfM3Vut45E3APkLBvJwyJCfpsM6avB6Bnl7tBfH
JBJ3emgYPqLsdA88droKUxuIqJ9C8VRAyS53TsbdVbmyerb8Q5DWK79pmzEeY2htpgIxe79G0PKG
GcuD4FjTaaNIkFSb/YittaB9T/vpkmdrUKpkXnrJuZ3XyNvpkn5r/IjC5bkNfaJAxa+6eLmAF8aZ
zTjfNS9JuusAfSJbV2JQuSkucbt6P96HawSvsobxklldERFn6NedsTyLRUuCpTbvEgeOZrp0BKGt
wb45Ov8bYRH2266xv+kaAEz8Y3c9rqHACenATTSrwWiow7U9EB0MyUo/oFMfufuRLOysEcOjZYq7
iFIlALih+TNJxBh9V9Rnn76Na0xxckkshthyKCRCjKMUZGQmWjYEQzJ54Rp2XK+xx1OHUUK2USIx
IHBx5l0tGoU2Yd+fljoORMQVWL8UyACV/hGjdPFJFnAO8yVvOb1kL0dz073L+th9Au1Kj+Ma0qza
LUQAdKJ7NEz38tA7MjKzYSHXeeiy/XJJe14WfT7qSYN7Zg2Dzhs5v27j4oMGNFq5+Zjs3LFDbYX5
pPITMqXFGi7dSaL4tIY1cXoEoLiBnzBsGlCmL5QvZgBvYbrrGAB71EB32hpgjRAmal2FXLSDrDs4
e9ao6wmH9ZOJuv8Kn115XPI1E1vMHaO7UjCDhnMTv5eiJT87XKO0CyXmUSBfErZpDSvqgNyxP+1o
zeAeIkO5Y6JkY9626hfmNeX7csntHi4Z3iaUD/LJ2RU9lBT9gaEsNp6Yrtqgpp0CW1n2yYwaqQYK
wAN6yU5J1I8vCtgx5GoWfj6jjBFypSn+HXIWOIUiipK0skHGlInTPQDva6IwIF+vXDRy2ngOLrMH
pnQBJ4NNCjO8aIevuC2KnaV1ya4RTLsmqfyeTXiE2jm0aB/bY9YwBaqjxr4zC3m4jeKuvsPTsvgZ
ylzEeLqEsaSyscVoiZ86dnjghT3S+DGcd9gTYZq09zlpzM3fMtr/SkZLHA8iiP889PnpOv6f6ut/
vCrvi/ffJ0A/vv+nnhbdOHkeDmAw8yKnZeLyU09r/cGS3XYs7vNwytCb/3OXbqM2X5OsnHXDzUqd
f/opRLf/YKwDVA8pOitwdnB/ZSK0ynl/k53QOxoI5RVD1VHKAxT7fSA0K2UGCWKSd+RbeEX0lUMX
meZwT8/hlyPgpUQ+kFgdEHn4rGRkUGrtD6HGf7TXr2Ljf3sJyF4UdL2Mw5yL/f6XmRTNqVnbXNVs
uWf5FOrPs1MfW6boZUEGuQqhphO979T01XoeXtd1hCZeJZZ2VF90RJtLjFJOiq7lRXKTyt50DkEH
lnISsQlrzhhYUkKZGyLyGOoPHSsc6QBuX4KjyV5TRJbrf8667kI2emwXGMFF67ZSMBvMgqsOCWTE
1h3tYDm7CwOE3pWaVtN8OeuZ+JdPs02CCOfEbsLlVWjr+F674l5i4YVegClBn7KpUhJbuiZ6EVVU
p7VBm9EL92cyInlQl5GrSjioTOdF0aSgjaw3vILIflPFdUyWK6YFi9lx5TgO+ir3h6nwmj67m6SQ
NSr7hYwd7dDVr5h25G2S97dRa12hPX5fot7r0swTJoMuYMU2t3fC4rWy/CgmXd5mBBK5szx+lHrk
R2bfHsuWahdjM41Oyy9bGHJoN1GRRj9QSH/Lc/4feQ6Uq9Ww/5/vLk8JE+Xy9zvKn9/085Zi/KHi
XlnzeyH2/ibRtxHbrEQaGljmxQb+3n/eUpw/dHABiox+H4DBamD5xy0FdgHXPvIvdHzqX72lANj9
lwuaCYulWaD52Bwj0b8A4H65oO3BrCq8mMrOtucyJ6yqsr0GGhwKz1kgr9U45cPXmU6cZakdxY9y
j6tZl7XqKomj/qRVJiO2ZqDgtsgTCBoLi2o8R/VVY5b5Q1VSnrhok/Yi7MiThW+PWl+8yQSnNonf
8AE/ooEogeibZFUV6+xtUKXm0wjL6qqKI+eozxOJMTI6GW9CS/ym1SglXJhdDm1TJfGEtqbHTKuK
6TuzVwfWQdLq44kUnaApWMBGU3qF/Le2t6h1QbVpWNJAZgFyZwCoKqsvoZIeMJPWnct0YGDulkau
JWA9tcx2dR/3xXRSmin3myy2X/Mst9WrlmkPH0ulqjumUhHKIoWQiMzkFgRzoiKyY0TGogiZkXGb
vevFUl5FIywrw150NvJ69kxgA02cEuooXk3Dy0NtfFLVdL4rKkMBAND2VDt1Ud9SrsnWdgoZ92LG
l166Nqcradn7xnJLiG/CptBl2Id0tG6TocNgMElOsCBMrN0pDf+XvTNbblvJtu0XoQJNonslQVKk
+t7yC8Kd0AOJTPRffwdU+56wZR8rqp7PS4W3SxYIEEisXGvOMc12H4dJicZ2EZ193WYQ//cGgbYP
bx3OHqwvgQ7lKF9EImgVhYy/p9FZr3JhcS3wiVoPYeHSBpnt0XoAN4ZaqZQuv75zyJTcqKazrlho
kQCAIZbIEmVdVrvAHSwbCTpEc2akLT21Ea32uaXYK4MT54+lRUwKFbfHRL7ta35uTiv+jevMhX8h
60m+2CESECwjFT1fbBvZ1kXmftENgr5pmSbUgMnkhk9BU+B6qqltnzB/d+zdgoEE5FAJ64EoSk6j
AotxGP0GwzAqJ+foIDX7Itn86AOuAizLatLLeVijfdnMldWc24lVIHMQCyf0pgnAdiLy864gPelk
BDMfYES4kOz8JOfqVkMsX+g+MnxPyJGoIndWTh4FOC5FRJSUZ1+RFzHGVLWxmRy7lbaP5Cbvvuc5
uyA61Py3mNZfm8IfKA+Yd1fgklEPGlmvsTaKBQavNbRnPflg6XKKTmiLy1aNE3+zUAwfhVeJ4zSl
fC0LU88XL6E5LQzJSSCqNm+CbPAu3o7o0R6Z9rTVnSM5FNyb7WBzffMxiZ9GVXQBQnU38SMx2sNy
UMoSX0w0X8FWgMQ/90wlX1o0zsOmpcF8lrCZELd0ccNd4bRo+zInQyQce73jbFs74/cnTslpzRU9
0hRh07NYlUJPb58SqEOfoDQV5FBTAfFhXelxl2GWs67g8td0PAuNJU174+puq4Z2ue9GgrWwraxf
KePB9Zrks6mvujlcZR6a+YFq+O9wzpDkBGFCk9xoFrhpjcENQfAUHfqxZIUCfqbORGVa8z5rZfm6
LC53ZO4Z6z3F3gguAEy06tD0A0xW36omOIsQAclEL7ox6kJ7QUrmjXfmGEw3Qz7LF2hCvUMbrLdw
faR1RX0gKJa6oN820uVd7hK4S0fNxuvaV3XibGcGY6vWID7Pwzl84sv0UtKnfesup5VHr15p+dKJ
XsfEJNkTkpfQocUeVHu6f8gk2Gfd9lmnv+WGYyFE56XzVIbldB8QUbf1bcWNbatRcTJcgAvPpKzZ
1hUJOAxiSG3BU6JK4n3CGu0Nl2yAswFN92y0Qv9bK1ekilU3AelmMTYGPOjMiZIkZwhVr9d3hmbx
pGBGXng9znoOWI3Xo+WKHd0HYtSNziGMiVZ8uMHiIY/OtKr4ShwqW8Ub47a2ZH1XEjuBkqMocWJg
NbEfw2bx9wY+kR8CFwvAT3Zn+RBY30vXX56CpJ/8PcLK/KKlC/fDQXSBb8udj7KqEZflNLmazHhE
SqOeUlvoiM7t2tUK8Ssj8ck39mSUF9ZUs60Pp3pvBhWRE4m5/Mhm8C5YOkosKC4TqM2Q+7PYrGnJ
L4jBNFrT2G+3IdSaY7+o4rICXh6544gqBGmfzZyE5A+snJisPVX9cN0wFbsFPle5meZ2PgEzD67K
0bizKsOedqZrOWpbBIO2LsqC1fx2EQ4oXxPV0OARWMT8MtJtAR+NxuymMPr4ph4Uq8lMQxP+YH9n
1fUnBoWIcrpQL8lh6DPnQhZwAh5j6TRPY0q0VTmKm9Qd2juCFJLNmGjrLmbvc1/7HQmtKGqC65Z+
yVnml3Jn4oH5BDVkOscE9rAktvfca+bCDbI0dXDHGv8E3xsslUFN64M/EmoYVtte2jdaM3LwKpm6
u9JMzQsk/Sg547Yzb3XKNn8CEw+gQFlga5C6bpAGA5gA7IHXJo3T8TOhUBWxh6J38z2unL46Q/xb
9mAjBH0zB+JIMJndg10XwUsG9k/zKnTM6z4X/aYyDXkcPIe7enTyzxOv93OkpP0V3e/PowraSwli
AezlOElMKnXcXZDAm4N0DO37GbYE/Nfcui1ANr8OyBE/z3Du2y9Th4voNvNUnJx3aiH8vSzqLeON
T/a8xLcpqVqgShgJUApOF0NnOVv8GiiTPLRy2jGumV55O22TBbyZ/epH2Y3TRbt2amN3tm/zrBte
gsyLo6RKvZtQhu711I+Inoo6ZWoAaEpe+ZhxL824teso7U3jVhQNXULabUxCS/oUwptOUlf156zv
xNZt5GPcS/MEK/Kp45XIQIH7VOfmi2Unx3zM9QW0WvFpHBMyXvxiVlsr1tYuNtL0HPcSQNCg6S97
X52Be+g2hW+TUWdajEj8Rk7iAiwgxBw/sAjBFk4ZIRPuO15+xpUnuFVMBNPVGDRnjIif41z4m6T0
qg1BjmILxq+IyBkt8acM3Ae2pBs9eSFvijBeokS0xDZ4vML3oXDMaWPb0rkNEuHdBKHq7hsIbbzo
mSBxPmm3LZZpb/gdcjRVoDfok0fPbK3zGr1wZDkTeFMooXtymKr7LEcQCGQ5L/c4oyCt2mWusTuS
kdZ3Hg4e0sXTm2pSzr5wzPnBVGo4n7VjPhuKfzgwTrtkBRrOsonZcdSR6Ot05nCQdQ/7oLOFPHeq
pb1L3aoctjNbNXZoK9MyHRvr1JNHdJtlDIVU7B0D4P8XiMbnR1MTBbZxq/4p7dNP5ATHTKXww2yS
aUgeBxliIdJTxxtXOycPYNXZZCaMA4iC2Hs9Awn8YvnobarKpMUX+L2n9nORujwJVVds5eS2e0GY
HoVXGiabFj3FQY5o8WTIiQ9IWO8ZfvioSNo43/E6pFNOyE2EnAzdd0wbfFLWHdwGBlEqT0UETEef
N2JGGmymc38+KQGj1LbRTPBvpku/Qrq4BY8xfAcb670yDh13CCnc5YxWdvlN+n57BuI3ZsJNaSUr
rTblMBP/LiyYQWWVe7vMaOWO/n+2Dfqghw5p2VE8lyglh3aICt+3z4u8Gq4WHUjnkfcbcQ2IFhgq
4KSsbkBiMR4q3Oaur6bEu8O9g+zLNUIF+DSnLKhH8bVAKpTsQ6SFPEAmtSCDv+I64SWLyWi6qAut
d3NfhNM210F8qykDLu1SSlbe2Uk++dWA0nxxcmosEb4kvdXcLfGIYrhKUmAi/XzharygZCm0ahPi
mMJw6BLGxDz5fLLa+RCAr7khJU4/pGN1asf2XAbLFLVM0K4rzAHfoHiYh6FrFdA1Nz6oJHiiUBv3
vlYRAnJxmw8zvC0SO4tin09VUp5wVaAKykLGhBvUODKnQ1bTmq1sb7mDhy6/TiSm0QQJ7XLYyBok
hkMIMMl18XJR9Mqovs3DpG/IEFuujXRR2S7BgNh/DTr5IHtm5P5GZb2I7UNlsLgd48k7MOXz7xqr
fJYA69Pzumz9+MKpzS+QreXl5FLIZQH3wrEYs5jvOZ+LXQA4ygdwK1zzOav4kxo3CqL6zUp037uw
ltYEN1eOz0vKzE04Kkj8m8SW7Q1vv2NX8QYdz37ayf/B4/Xea7UGYZBjjm3FE+iv3sesJOHYY0im
rvWVEsfRYScK5MZ+AHCGeEZZ2eHvx3NXOdfPpjIQ5TQQ6e3B2BSUCu9NZelAAr2pm7MaqeBFR2v5
RbMwfynQYaSR3fRMGEwhrpIh6B384Axe5q1GMV1d5i6yqr3Bg70jTEGo60oN1hVEvkWeFCLFpyFF
tjAgkVlHh3VM2YaP/buZmE7Ihl50y73tGSRptVOhzrK+p8yUufulcYexu9dgHPV+6UASMo/1sBV9
XthPoEwKJjZsSew61PqMoDdow62HynfkC3Ml/Z1bpn4NlqG+dxClovdmxFJtPduUL2aFbPkiYW9k
rGunyQbLMuLbxdC9JryVjcMhSBp1NvOD6lo00vIOKrWYBmiotS9ve+HKa63/KB0CuIdJCoagUxO4
Aq3fe9RHQYWMAcFszlxMw+w0s5y9ASZPtmt//7Z/76NyoNATlAGwxe33d1dAVpzRlhyoTEu+YhlU
1a6rW74fnj3xRWdABdgbTmxCCCqUL//p0UmtgrfioXcMHfQ33Io/NX2kMVu+OWPXULm0H7xxhMvX
ZjP1Y6nOGlxX5Kl2PpsAY6zYtv394NY7VxgXGR0CWdHkj/rgId6fO8B+A9qxwntjSX77MCa9uPSL
1n6oc5BjkbA8Tn4Qc3PeJZIalVSWno0fEEWUDmL6h2z7f+3ND9qbLKce383/3t68Vj9w/PzqPXz7
J/80Ny3L+xdqVwR04PnpIAJL/f/zEssW/3JpU64PEs5Rfup/mpvC+5ftEdFBK45wJTamLIT/zEuE
xSgF/a3vBB6NUSS3/8m8hMfo1yUVzAkhID5rKS03xC/2u4FJofulGPswu8mLkDEdjQUTVJpiRnAd
xlKIW+EBqGAPaqJFiGOAwkxNMY1vi3ggrf2qhVckKYlbWoFdVnTOHdp9LDPPbjAYBVqVQjEOXLlo
5J+b482ak/29MuVoEtyhkW5tFZwPPA/UA4w0mtRme3doQpHsSBDOTxVxma9OghFygyA++Gqs7RdG
E8nJL9D3NE1Cz7PzITMSM3dIUDlEkIXM66LI2F/Xjtf3m9ZWaPKXUip3szjCeAS7+DWY6BxULttb
cG/0FODMHbNlyS+mQkBxRJb+ecxBHwhThh4FtJfeKT8o0kg303wz9EscRtJGDrlzUCEaoB6WLtjp
tpRRyGQDPR0KzyFjn5mM3tdsHLpHPXhpfuWynQaOL/3rDA/EuMGzzmS29GZsC0QckFYSTiFND7PL
5nvf7bo64puYP8UzAvpVPNDTRoiTexBGMQF6BBQXW+DWw5E9UXq+jNP0SWQZphas+SZAFGfYkVnE
5N4kjNDa+x1mvw1UNfk8K/xYiB1yWsD+UJ0MjRxwY7iB7LdVvATXQTH6EPFLwS2RL5kNnnZCmwPr
XFNSeeheXjrcpt4NZ2Kb0EGGaorCMp2izOydnTZZJSsjT199VbJrSbLiTGei37ONQnPXZj0lXurf
touYEoCGRRKR04GziUDoE8n21NJVa90abjju6qHyTrEAs4TixPW+o4i0oomH5gpf7UL+wUwedgHd
AFf/vq0NeSFAR82XJrQ/X57sQoyM50NaOEEA+aASUESGtJY3ArVdc0SbDBLXJHaIsVzK9lJBltds
3OKCrQ9J0sw1GcNZwhFRtXD1bnud8F0t1uDfV7LORvTi+PWfSjWg0QVTbEbEkDGxUybu5a0zTb6O
PDvRDQ6OmOrFk0n6vWp9Uk7yknxSelFzZVwMbpbotWzANGUE2cVQd+m5F9fjF0i1ZJ0UeuxRDNaI
1ieCzlxw8HatQB54ZnpGLwfMA1VUibLGwr61HVdO5pmJoGtfJ1l2k00ztrS0Re1HfkZc8WTHgR/T
jCYIMiJGuh+36DqG4WJZsn7FeAqSu1O+zUgOFQnbJinKhEHh8ktuvJrYGYjCfeVfTkuFYVe75kEV
fh+lCdt37jhhwN3wsbOVhp9dof0rifeJ4xJfoGV6KqrKYPxkZxq3Uji1yUmY+m6ZaNrehr3xjUDR
mmfK8JppG7j57F51BJove6aYFaE6/dx8mkAVig2wsfRhwc/UHEQsVX3gL9fupQEO6IyVaL4XbTg1
RywEtIszIm28Aw0Xezz6eUybGwzJ62iIx7e+uZO5erkfChtKPJ4CqzmqeJ6iQBrWuaO1ebmg470V
9cjzyFYmBw2csJq5vVlvkNsRBDc5wSmn+11EwWhQxE3Elpz7jq6JYZOqOARBrHellcS0tPmumj0p
knkEMMG5NeRsDntiW8AMhbl9Tqsv3DlBzrDCIE0pBbvC210uIotQXa8KqkIk+VfV+vmX3OyMR0eV
w4tmCKIItRaCZ01MAyhqSKSVhZ/zqEAPb8l5ZS/v4bxT5/wA3SDLAA9Ew9WTMzSLYAFdjZzRtRk3
oCaU5iafS4HiCc/c1tYeqhbXU6QW1YMczgxgUwx0OpJgyWVhcy6wu0nyzoM6Lh+sOXGehhEUM7cw
CYGafFSIwyaA1GD0bz10ilHSxQim7bQ9InSh6VUvcIQIGY7hfaAbu6tjLa7Kyu6hCZOUYF3So20u
lw7d8SFoG+dT202fkLQP8KGQGlqRlWFT3sI07eD3DPnUX1ayWqNeLX1X5U2OE5X3V3JrTUOsbHBX
5bzMZ5Xjd2QwMwyA9XFCnzwGV0xUrP1bkfB/9dQH9dRKemfT9r/XU3tAiNn3Xx1I//43/xRUgfkv
fgWNXpP6Z6UdUp79I0AJ/H9RYHlrRtA6D2Za+z8FlQMJcbUtoT8xHZMgIWbW/xRUaxW25kcEb+k1
Nmai/6Sg+m3T4jlUVHhHXJCsjvmmT/lp25CMk7kEsunPbLuHogkPmcGcsFNmtL0TsoVzVY1iuicM
IEwh/Px0rf6wIX+3P6aGW6F18CEBMkKtWIvNnzctbYsIdWD5PIy9Pez8ufJ2VmaXALez6uy/OBQR
q6bpsxkE8fLroZjaDZZFos5BWCo7sBCN8AnoTROU2/4XZ8WlDJ3VVQaR791WbLGmQiJoAXA7TRmA
36WNVEerrpv8/oM9JyX3zw2GtwtIMgZSa4ebAhvRr2c1DR32L5cLCE2D0B/azUDsvdcJ/1eCh31L
PJ6x8iLpE5p0Wf5+SbkH/3DwlTjCXUwd/e48MbHEsSO77mA0wgPPPxGFbYn24u9H+f0ecYnhtQF2
Co+MH//dUXQSOFjQ4x6eriA8RthrlJY7tf6qjmUg9MFJ/RrwiF6CLg21EbsLy+Y2eeMf/vRAuMxL
ndSCQAETj554oX74jv1K46LaWGVFZUMD8O8n+PtldBF9hKuaxEIf4r3b0cQpsKrAwa0BCtzF6B2S
f2yGze7vR1kv00+tqLfzspF3kcuE65E4lV/vFFi6SM3oWh4cbFAbxzAugP5cMxcHSGhW7gfn9Ker
+PPR3n1phIMmbeKW/SEYkPHGiOiToeo2wD8k0LoQulNRfP37CdrvehBvZxj4qPLYadKCeL+UzWnB
23nksbNST9BfEuVTYq6BPs0CWhiMQ9S3d/4wB9u2xErldWZwkq5z1ieqYawWDrt+smlSjr78Nk20
Pmf0KPiPuvZ+Udi8iebcWkW7fLAwWX/4/h0Tg6oFpNNH47L+/z/dcYFOAON0PEbZ2Au8DcZIcT1N
LuYXwzGpPiyoCUEzRg5Xb2dDDf9sLv4EqCxgcNQtzjaRSXhN2vc/IrH/VRro/vGjsT6vTzhbf/vd
R8vD0isWt+wQV6Qor4lBz1Q6bdvA69g5JvqRcW++NUcvLCPCPzHI1bkiS7NCglutM41hLTGFXo1x
tblxLBlHMVnnG9LnZ0R6tiK9ZzGObOmbCCQ4MR2UbvAAVfjUj5nBcCuIt6GTtVslDH+PGoUQPFrF
DF6mU1coDVeT6WEHIofAD/c8FcVjPwYAxsRMfiZhx3vl9BmIvu66Cf3lrM18PKQCrtwUl4A20nmd
/uAHy2vSUhjYvRazc9cFXbEJSWo4Y/PZXfOb6/3f79bfH5CAtcYhqgh8Cpoxioyfv/RJJ27vIgY8
ZDq9MgpSD7PAPFrZ9MBGHbN/j7bgvziiy2LtMlFc15tfjxiqaQjCpegOKo6PlhZrPf8trMWFcvCB
FaH36e/H+33dXlPzME3TYlm7ou+WNY0tkLTovsMoVZJUCIjhmDRozwJbzdHfD/X7bRrgzKbJTANq
FfO+u02THrctQVa8BYPBPW+M1jrCZvE/uIB/PApDA8oUZw2lfXcBK4DRFeoUXneeMhWDttA469sk
uPn7ybzvpbKOcTaEAQVUi7Th3g8NisxYLE+G+jBNVhOR1ZDvPWY/RIUhERCxRjbmcOMDk0tOKnhW
dnJoRJF9tCy9UxG+fQxKmDUt04VGJt59f23biCUbfIRUJMHsxjYs90y/uj2+B5pgjlgEJA/0Acps
fpTN6N8VXT6CfzKHy2pZnJNbNB/Fatp//ExrKxHaOwSy9xVHgonIiFNHH+qkr48EJe5Csx/xDHbt
VUyuyTb1mXOULo9y2RrzdS+zeUs2HfywgGGeX5c/SvZPVwW4p2UZPxPuYG9xVsn7uQZYJSEKnREO
OZ7qubwiK+aj4uLPJ4DWDoUPOis6pb8+hLGlwmoORi4qDJsE58S+H0XymLKKoTjw84gpvbmtfK/j
jaWqE2HDX4LMf9DKC4+9jOPthNhkBzImvEVE0xCLvPxYEFaeHCR5+1EmMyCk3OBd0ZV7he7pg/LI
Wr/2X+sIJEY/ncG7p2Ds0JokzawPM3KrU0zD49S5E3GChhl1tNU2Tg8IPc9NmhRwYLUkjefvD4jz
x7uADjTIAlI8/fePezCzlsxurw+4psB74Wp3v1JW3fhCgzcPze80baZn2mzpN622XT8k27yxEVU6
GEWHRO9tRnIR4xp/M2bWiEDCBuREU9c8TC5QYjox1g88XhZLpU/kTrFzzbyJPCN8RkeqzhjWAlVw
rfIMT98XwMP33syBEoFcVI6hdj+45r+XboHHblAwJAHSwG7p15vGtWEGxJCRD21ePtfxwR/yMjIW
AoZguTof1Il/WLY9amB2ngJ+k/8+bE+XBQg+Fp0Dev/XMEOn4FgwgcW0hB8cad2bvLuTOBIjo5BR
LHODdzViGye99HEXHmaVPBSWkzyjG0WgWs3sJty5YPJtekZwij3ro9jQP7x9UcKBQ3QcXkwU3r9e
0S4hwy3OYdaA13iJu+Bm8ts7U8Svpd99ZcvrffCCem/zWBdTzwRIB8+dDbf3fk0PB0NPWcYtyza8
Zk5P3TPH+NhqFA3OsPww4+qhyUDZJbOkuBEQewdaXQSWLR88PX+8mRiI8mZxfPHb/AT90OAyltYH
5DtdZErfg8YTY8bIGrhPaf7694f1Dy9NovwYI+ErcddJ7K9XmpZgkVT9xJdM8/6QSCveLn2QfrBH
/OP1hdYluJO4vG9YzJ/LqVxbSWMJqQ/skdU2GKaUgDamQ15MtNqoEeElg+iJ8G5LokeSaks3oNxN
g3G+LN5Ha+Tvm/LAYwxqsykXPnjgd8/rOPerG73gwwxwddPET/ZaLZfzACwgqSxjuyq5Dqnf2Zum
6M0PHivrT08w1RAXm7o9QHbw6yXvkiG2EWcotJAi/Sp9tfoGVdJda4Ys1Wb0GngPTc8v2Bio4iio
wcO5EbkV+EBp8KcFzO95vBxSB3yw3XXwjtzE1d//fmf84WOCLPc81hifOsd6d2ekDAuId/bagwdZ
ct+LZdgJ3YY7avnsg0vyh0OFrJ8+UgDacMH73k+WWxo5n98euiWuXoUz+7cL2jumEJ75X5zWKjPB
Tba21H5b1STM9E4Goj24dqZuAU55+2Ze5b+qo4v4P43Gm3+vlD8Ti/+wiHEk2iKUiOga3u8bIYUm
jD84EgLJBJdqLe+rpLV3vN0WRF0VjqomnT9YPv54KdlfC88CYeSG7761JDHrLkxd7N8kgG0rF+ts
lld2xDxNf3AoomJ+f0NQaZhMlQlqAVz/7k4OCtH0mAG4RYTC8OCRHqa2WSrGJcIdXxOxrLQdEWje
ldsWEpCxZ+fYT7tl8uGHVQETjh0qliU8xnoun2ziGolXRlraR7IsMbkQ/pJ+IWXLuCycAEFMkpaI
njUTtHRTc0oOtosGJ144uKiuRsd05nPXgI2Tzcpfdo1QjKUSRi4PXm/Tw2fw6Nr7HCm5tyP0MbU/
hXBCqx9eTrMk2Uh2MOk54AYHPF9WqPRRl401H0viz91DmlmV2BmmtE7VMk3GAdzsoK/cCuL1pWBu
Gd962irrPf9tjPtqVLogk0CERR3VxSCSy8Cv18gsl1j1fe/iix8MJnonVRvNmbWKrzZzomzEamn2
VGlEP5upF01+JJ8qIVGgb1DezwUjxV0l51pd5APbSdIuQol9TesxBLQ3uIyWmmGOzXMEYrFJ36GS
diQr4L8bbMKB/cUn55CAmbib8BSDQ7yXbmb4h6bT+XyDwHq4rzOhut1stKF/Z8JeTHb9PCQ9mdDp
tG+DKcwgsCdMDwUIjmWrdR4eVsVnsyvjtf1nGjbixVa7wWMOynA7lVWz8iLIWiSnUAKICvpb+rz7
fmUxxSuVqTQC866rPeC6FahJg9HjzmnD6x6cE6bn/bTynWJAT4NIk12xsp9sAceuWHlQST+cnJUQ
ZRPbl6/MKLeHHtWvHKkKoJRwjHGHQREe+kqb8vRo7kKReQexsqiomJlArnwqvZKq/A64lOjhqtRg
rJYWntWwkq2ADcEoKp+gPO+8lX3lhgzrrZWHhQZ7wUwNnSFYaVnOys1it4CLGWrStDK1XOBa2UrZ
wkwaH+NQFNspL3qKCu2DXBCog1dCVwGqq12ZXdlCIjm26+uC7tK0cr2KabKjxSza3dSpcpOn8bAl
k7Q6Hx04vSsbLA7EXWWk084ag3QPh57swZUlFr9RxShd7+KVNEaMgHlRr/SxuWvBO5mdevVWNhl4
LRkFK6/MbxqM8ivDDJX2dHTMzD7qlXBGk+JkW9M+c6W1L9z5U7XS0OosPvNdcZ/18yd3inGeAqDc
qD7+VL35rhOoHMeh94lbW23ZRLY8kN0Un/Rq2UbVG5AVgY27XA3dYrV2p6vJGx/+cNOuxm/d40od
8YJ3qym8XO3hMz5xvRrGg9U6TmZ3dVbDCH0VukPO8G+TefFvy3n/jwOdSnM1pDerOb1486nb3DzP
lW2CHfHb1dNur/b2fDW6y9Xy3q7m93y1wTOxO5o9IevGapH3VrM8f0BPzwOBjNx2Z30RzGhD9cuc
KmRcuLZiMRbRom31YljO3syTIMFaw2c++IbdfJv8pZBnTlHafVQFyh82c4Md+sIwPLxyhR/gaSjn
wTVOtGcR68VNi0decaUY0dZltATV8JDS1b9BRm0/xFVdZMcx9wCzhVl7ZY12AA2EKemGnNDplGba
/OqZMfUk/V258xezPJe8ZL91Okg8ohaSBhuSi3thmrR3L4Yifg1p7kOIqr2Kzfea5LPMAQ44gNCv
SmI2xLOlrc/15KuILZp7DU9CvmRhPUY61fOho2J5CMjxfBk0v2dGxrNrOrs9AYsst9lUiyPSTP1M
F44xCIxqJvFDz51ACkX7KU2CFguMKPbFZLSffPxMZzmZWiUulq7YgwfTz8RjzewPiXKOvNituqgn
VbGEsGW428Ik0yTxsPnlFFzHviVBwqeFvGNXGiok5tZQnVWy4ec7jDdPbTwmC/65DPNQmKy0f4b+
JIyg63ZItU3L9R40xhOpv+k9CWXlpvFVb+81l9N4IiuBU/RlEabnib3wUb1ieBpsrASXSRwn11lA
FG9jEi/TACm5EOj2j9KR2UGYmXc/dLa7bKhEWjTmaXqdj1p+pnUHeAP6yXWieFR3dVMt+6Wf8PQ1
k6gOvu8n12UpBx+mMVm6PEQtDxXfLk349lSQhXaNAkh+VUOibsWirAedcb2zvJgPy0zIR5ByUSFz
zOcGt+atdJX86q47TESni0Tp3eYZsR1uduZOBJN6Ro9iWon2JAlOulgGLb92s1SfhpTruiAs/wae
FrrX0qdc1hbj3CmhG3Howw4F76jda7G0xmp5DZPridw1gBpeVc3fl9wRpMEggAJZD9LQiucLi9ey
jMYQc7VBtFS7QbWV16xQfUyySYPuVVqze525TfwoESFdeW7ffPYSUohIjgYFahtLbK0EGf3d7Ukz
SbqgPc3KxOph9MO5Ih7xDK/u9BgYOetislKT1+AkaRrJdR+23oJ0x6UCrzHxXgunLY+qWEG/XUgT
BzghST0IR/gB0lFghiVjCSpmkXjgF55z2li1fibsdn5FDqW/+wmo5xgZ/dFS3XqX96kEaYM15D6r
0uEJNz0co7HhQ5auWdwFnZJfnDz17o0QSBtq8TG9nr2qxrVBDN6nsl2mm8DT/ZMpp+IuW79um3TY
C5fYmrtWDByoMOZ96PvYSCky0muhuWoB1rYbMzHmVxOm4cHAqFNvaNrHdzaZIMcWNOyFByXqLmuW
4o6SfXpEAqS/LyMG0NOiaInD/UrnV1/S5gOWmMarysvSMO49YwQDazQkaol8qdCjGF58J1K2XJhD
dDsf4Rd5WDJ67iR4mYql1xPcaaxZ6XVZ5I21rSyI2YaT08RFX893beoAOZrnNAHsf929NoHBnmkw
q3zbVmP7Spy79SQSOUbDqK0fxHL1/ZZHr71ltVheGzuXauvZ8MQBlrj9Dxttnct3BgEMjyaXxeNN
rg/mWFhq82bFXewS5m2HajrzveHHJIP2tovrlfJry6tuwGuIybe9tSBJXccensYuhAmY6cA5so6F
ajcHPN+1kXTPbZYRPq2MQLPGg2cmuXpuuHiB41+yJ473so/RNPq4Deibdg76wtgJPmOt6K7iSmIp
K8vh7M1i2vLavHAwMvcb10+yG09ouZckmj0qOSANIxWlSxr+Skspo3iQzlfSHty9kPhVJereCF81
6caD4x0srteGiaaIik7xHL7BBa0KaiFFyLipRR4/2eUq7TGaexIKLonMRSlpmhl7GaWisQ/zq5b+
j9mnYDkrqTgsKk9zRBWT+hXrhoPtczIz43IiyO0aH1B878V2cwwnyDQsuhWoxZphY2u55tHNutMw
z2WU8WxemsmoLlAf1yRCAZag1KcEDBn/0UL9ErrIegq/ht9IxPf3oRSnNjMtlrSA/3F0u6sRkSLj
FOcwKcUz9bYJxmFqvobjOmdqun1KZxl/fAPNn3QjKry8mZ8DXOV3Zp3i8JjkmdeUbRSOBLhuMmLT
gnH5Qv+veikqH8inj4qIBUYkLPTscLb+PAOizotCHwvDhEgfG4hGkQXudd8z+LJ6GVGhjkCxCxP4
Xa7v+9bwWOrC5K7XHKR3Y/+mB0u/oTG9WtVi8SXMQu/J0115lmX+00Tw5YF2aUodSCm3qWB8b5ps
TC+zgMYNVoNj7CzW19SMR1IbDPOA2X6Jggy13TjwMGqZdhsoZeEumWfvnOJCPOfCPdTu1GD3y1mA
G2B+m8SDuxiWYfg6FL39PEmBIbgKF1QLlXj4f+ydx3IkR9pl32X2URZamM38i4zUQAKJBAqiNmEQ
VaGFh3Z/+jkBkt1V7Jmmcc8NlREoIDPD/RP3nksEQxbO1LBbh7Prqoy64tFwPO9OwuvZOiNOpq1H
Xbhq+zbeoKFqvitWTWbYxH16IzI+BiQ0x+mK1KqGY62RycouEY3O5BKFLBBWAWKtcPBcCnrEaK8Z
OQzHGNpKTzR7tnJs7bqW2XyndPOpT7Vyy6O4xWFPLhlbPQoyb7gpbSf6WuQ1ZYYNco4jkNhDv08v
vt7CDiot/6qTGJ8jPdkkDvjC3Gqd27Jx6jpMpsBgaVGog5T1eHIR9VbUaFrOA0fqSQPegKgKCwmx
yBRs77ataEsLLeMxYoc2noKoz55LKBU7x2AAz2gNW7VQDSONIdXmcxBZ4hrGApFs3AxEGwxtlh+D
KdUvsKaObebN+wiowOh3+YlIURilFcCUzq4LlqMYAslo6kkjzcB8d9neAD3wHLAzpc95besKtS1h
3qFoiOLKvCohaw5b5PMs7fZQm96bodzvmAHENyrW4hsBKjWHFmnJXuFoW2sE+td7Q3knXSqWQrYG
S++gB9uNBQSVqz7vR7Mc06NmkQWAEUrvvL2XGxgpKtutb7UpRo5XSa++ZXxDWpYJ3KFmDVBwCMEw
z76ViLDvTOGXd+RO50Q2SA7QLAHYVXSm/lZhLPwQka4IrEOqeStQARwdtKT3EnPH9NxS8fC+4dfY
ov8jIeDTTl80uMBVAL2A25LZmSoM0Aj4Fq1DHaXmA/UxnWm+wFXjfO4+8GD3H1hfGCJ0cih/5PZi
FexUH33Tu8x4y5OWmx6f3XzuxBx9I2aeJtyOUpifjYqw2jiNBp9cjYG3UblT3Rdi5mDoEoipWy/G
97m1gaMla5Jj+Xgk5kCBU1cgdBN3wCuJuTX65hgOXxOARGjXHmxjZ20jgm3QkEtsmmPHT7nJwFVD
G0Kl5a1sxN4lrEa76q5S5fT0jXo1GpACmwnkLsUr31lpyH0PNlA2f53YgdR2mlxKgJ4NKd6auQyu
s0S3qzUeaYpW/I+8S5riqguLeYi+je2IFDke0iU7MnbKH+Yw8KcOwpLGerKt4NtvL6YzajFybtaT
pNN1Oso0z1DEttNP1Ds8MHFoCbcj8+ZzKGAZdnXvoB+rdgX4jMdFWZDSYOZzvm8MpkC3JlADYwus
DsJa29f3DrkHGEht9q3keAh+v9xzmIe0jZ5nVx0qhnFXSoQfJ2L8xh+jy2x0NZhOk5xczUgecjma
O3ws1VOJnf4uByhKaGXj6w9T0nQSIpFtRLf2wC+9N0edjwdVOT81uRe8ea6cK439X+0UIe8Jzy6z
/0SumcvwKo5az/+vKrDOKd1LSlAIFbHsxu57mnVZsQuGFsrFEJRptsMsb85hofP8rPDiEJhZMf87
gigknYHPIRWdk8CBPSBhZojSslvBiy/AA/Oo2zTcXMLcX5BBdSC6FbGrJVjVWRW3yWjBp15KyMKr
MAkXaAO/GplubkiQ0I/spNs9zH9yNzF+waPO00elkunrRGrQb2uwfzSof6VBtbj2fxoN/0ei2P51
ek3Tnz09xm9f8oenx7FhluHL8XhUeOBd5qi/S1ANV19gRrghDWZAi3XnXxJU0/yCBg4bEGsb1ips
cP4lQTXAo8ELWkRyTNSX3c7fkaA6vy4C8RIxW7WRD7KzYJpt+8vM+ScBFKqOQmVObN53lJU0LKrs
5IrcqBowaMFZ0th0lwQNt1iLafiTJNcuwFblrrI13AhFSoAGQU2MC/SomNaaa8BK0JqNM4/4LXWd
78OYiPmrNtb4hlpi9VYaZ/6hJlyIzQMhpZ/tpqnp8xmwzbT+bGBrU+YX+ka1D2KPJC9DG75XSiNp
iwm0TdhTmtzOVYGTNen66RU7JPFWViJTGLO8bGESjzy2bd6qLURwccQ937wNZpK94rCRZy3nsOPq
ki+yVW0IXy33gISr/vvYxgY85wJLJ8rIuzhx6QO0NF3VXF9fB2aF+V/sJz9XUv/exX6+BcsmhndV
JxXQWETKP78FpbLtjGgbF6WbFRwca3A2jbk4FQOsg/CATdHDUzPL4Fx7jXldTSa/WuP6NfmTORZ5
lWRy43F4HgJFda0iJ7kxmS1/GGmuPVXC6S6JBNSO+zI7DU7PRtdfyOYgxv1dnBBUDEmhvvX99ivR
J4gwmumaqbT5YCbmjqxSnOauePvpIfl/7E+CXxco/NL4QZcPMGpPTLb/sQVuWBTFkd5U93ZdRi/G
8u7HdW08Y4Sbz5qnt4cBiMWhzCYiXBNouniDerXtoGsSXT3rb01u8DIEzjTfxpWdH6facu4jyT8J
lF/fzaY2rmLNnG6TwSXqNhbz2fGjR/wLJoJdRr15RaSqmxeQOYD97RKt1XY5zdOabJ1+o/SSz/SC
ILjSlfVRucP1hPV33w+Rs5fkQnOfsETGIpNvZodwXpxfCVf0S9EE2dG26+mdIDOgMUBa3kkHsw6e
xAza9sa4ihI2z804bPsUswIPZX7jjRoPU4eSKLc+dK4VelVSlSBwZFyYRMuX0E98InrSlPljTTWx
0xWpymZKZ+pVdEtzxbu06qs0O5XJUoH6hfkkWUx99wuwqlSVLbQexwnEnkrG2FZJ1+2pqNKrou/1
E7lOzBsqYzw5kFv7lWkRuLwRicr2kkVLECo7Ni9a2s+3Hc7la8SAhAAon3hoZ3k2tVwR/zx1T3bS
ibeAKvHattsg1GkR/sJU/Kcza6GqYXdEmw90BxjkZ+Tjzw+MyZI1ikdPuyS9ru5ozqudZtCnyBnj
beuRTo7Cgs9OW6t3JqXsMGBoyRDhSvKRNfV807gmfo1eF0+esJs1nmF9J/zmeWZ0vxaDW34tBd8l
H1sobdloUdTw3l/XpF8BZGSQ2DnxTAhxbV5mHV7yypP8qnLQ5Il9fhpyXMntyHZ4OVDrHGZ50xsb
p9fMTUrvxPecx/mGcGZ19/mxbTJGkeAr5KkVBAQbTR39AOSjP/ta2T0FrFCfKk0JwrFTUoMhwGDt
sYAEvVV6vhM1YIGQ1OkhQf8zsPeQKvc2uZ/gydMF0QH//dH9FA/++7xaXv5Fno06BZTeksyyPNo/
XRmTIAk3Vi0TpbZxsZuzX17JVmj3JDjxGxgZ7j5XdNpDJtMR7xYAG0AFbZXMOx8PGAJonkEg+YWI
jn4+Nq/56LKzCpiqxXCv2+iFmSW/zJKBccD3p23//i9gL9crSazcy8yff/0FKpV3+Ehj71K4qt+A
pcGZSgLfVgDCI5Ks4pyJxMR5gYmf+WBCCj3R382rHunOlTG5EbO1lkh0ArVeye8zrglnIxbXZNYD
pcOPHgpPUEUmVQx08r//7J/38Z9efJy8Hg2XSRQoWvJff3YspGlLdJRzqQeHyd7UddEPPs2Rv28Z
jj8aMM9O2dzNt4U3Vruexpaol6oCitKk45F1H0HPZDQcCmeiX/SE9tC7JfMAtNsQf0HG3Sq/S689
EEXnqQwKGgvizX6MXBO8Ran91kXTcNCxz7GhWmaUA5uQClmU15I8zCBwNhkR94xxn0wWGHvNZ4rU
IfmB4Oe526KzyPLE9PnChgEG2jRGsIiTdkMOYeWHPaST70bccV6Z5WIH7BrT2CirCbZWnb8xwdp3
iVWJlZU3zQGLWfRSeTzq1ATz+fPRiwIt/mhh7YwbN+c/DuQJHNXcmhdw0kSHlJk1wpgSyYcOsGib
6Un0widv/G4X5XKCLC9N5kUE8VXqZINVhRFXcvI1i7xOmmX+oDemgvEh3PTZK7N3QIn1QcTJDIDD
xODYEpSg2WCzaRW7tUNAxU1GT179xQeBIpF3+pdPAioxagakPc5nOfinsoGzmmD1HO4UlPLeCyWz
LXLul7O5mGY0AqzXAcUsiS2My+MtpVjz6rIEIxaHM2kTl90h0QiiTIqsYMRGZAEbHz3Nw5FZR8nA
u8I6mS+PK3CDNznpxVeO//7NBH7+fUg9W1sHrlOSZJn4TJoryrETBlRnU8JC4HNgVxbLGquIim1h
YLxk8FMOez8mP02qxjuw5PhKNw3RyWOfVISame4Yy2t3CM0lS6ZBHz5Y63BEwmpaM9Go97OhUG/y
1O69Il1KzuV9pTfun3AJ7h0tJ2RmNlO1CSz5ZDSEkzFWtlb8PEkJFIsHIohtPqyZ2dmh6/veOzKt
ct2OY36saaz2KijwDDPbFDsFRr8+kXdrMxIY8uSReyB97LQMaZxqJstnOFdmT53PmhmUnnDjfULd
Qh9ncRowKWiSDy3wjIs2TkuBw5joqAP42Gld6a5bQNnxykqGfoOVhxx19AYceUW9zFS6qeWfo35Y
2tIErUnIIsC21wXZ7Q9x3HeHiPWXvVJGZr0lVoTONka1nF9pOJ0ofwJ5xzCu1jYqFvpbWdScq70o
2QlzsuuhVinjOnam/Cj5ILDamAgG0myZkL6AePbZgOgHVVQf1B2L8wi3p5fNl5bact8vVt5V1yn1
w3Rz/8CsXSNQssyJJCfoYkFLqGlDrnwQ+oS/J4hEWOpOrcanMIWxVK9mhHU9ee+AvZtIXzPYK354
3nQBJb4AQihbI4aYXkWUQl7eeF6ZnM3Sm0IuA6juHeScu88T9Z/O9q8624Wf+9Pl8x+d7aH6SF+r
119a29++5g93pf3F4+T5VDIS37E4KP8wV/pfwJHgPEBq7Qc6ZcK/OluQFJ4DqQLdmWPQ/C6A3N/N
lZb3hUktiiPXAv692DX/Tmdr27+2GLQUS0Q23y1ABej65p8NjoPZJalKZjBKFuQnFnzFq5NROTKm
1SFrJ6S1sJfvJPXhwENK7Ck1nstk8KRI0pxDA9PWhlHk+OENRnmriDP6FoAJAPcY5Ey4+apyPddR
T0CDqr6VDkW+jjXqtk0n7GvZ2FonwruoP8FpkTHQ4eghZMq/95gBXdqZoF99fC3rlqa2S/LHHlDW
S52noxaqseB2zFn9vXZFX84YkTTOVM2KUb7MQWXNtCZYZDaNK/K3RMtBb1ttySRSsiTc0D2npOsQ
EEqadTCclhw4a8t86ROVa/r4T2rfs0L6TTDbmZ9ZOxEsS1Vchcm1lXmjv0GolyJSrAog3LmW1+/L
3umlpuK+gVioh4MFyDEOuukdrUL1QvnAKG30sRalUy7uZJPFrzSQJhI1s0baOBCQVTYhWi2doAB/
uiEguT47lqzJd/NnMF6ynDxsm2l+41vlfIdPSG0b2ZMRWh84ItgqYaELx2qgN7LlbjJT72yILsCP
bZXvcwfHwJpL/+w6RnNgSN/fW5IrOO1gjVH7W/tIkZXKrjSvjk4PhzWTarjyZ7hZB4XR6zjCoSV0
IWattkod4V37emlWYavJ4tEqm+Eeixhx24OB7gJ5mPGcog1/7rVmPjSTw2KKxMvrSUG+oA1zEYhL
O5xm2F8qNoanIpeNCBddEaCIVlwlPpIWUG0KFZvstXzdFXZyO9pVsWlEUGUg6ANRrUBJjqdCm8E6
BoyWX8UinopZwzi7mPRRhtTICb5lXEvFMkcVUB+EFZ8rP6iMPfVEeoGraj2ZcZneBYqU5RVteXtv
NCRMDSKxrwwzG3V2tnWy16ye6ApJPIzZj2I/SWO8xEmJ1o/10YtWxe3R0svg+4RPr926ehnbK8Oa
/HQzCRFcgsxVE81WXGvPGdSOcwJ9NmdHT8whQBaVv9ukZwerAW7LBiRouQ6YRrDm5Vrjfcy/TkaX
nL05606dIZOjRy0VbIx6EuBtK7DOrozLNR9XrBeW0BfhRE2CDnC3a3gw9kmM9lBvIGg0N1lFsDwG
tZKn/HmujMxmhxPDyuHlmfGeElM1pjp/qysj7vsVEBWZuZeuDma9uK50fa7ogckCVPtywuUSjWzl
LnIaLXlMUGrvxeSeDT9DT2B7KrQsdnxsYIL7mepx3HTzULwAwJH4VmEUI02xgy7MG7OGD9s592wN
iRuRqdGHvS0F+UapfmPDHyThnrgvmz0asJaOoK4cQWAA/XiDWIePIs/LJepmlgUp+V9f52iySvCw
vZ6dvZSkrmBtN2rQ723V0SoULJ4r58Y0hLafhvbRhhZItKu/aAlbazpY7Xgkit491U3T7iAakhgz
F2rXDKW8E7VvMoQpxKr2nfjgy664m1qrvRTERYd2TkBuBD1n4zEzJBQeCG3UpStDJDcl6LKhhH4K
leZ6zI5UaHwnSxNI/iOxCVLzBfqMs3Iy7ZhlJrsHih7mYh3fRpvCWXT2Y4JxHuVoW4cGL8sWs1t3
m+r2SwAufU2SZbBhF6edMmVE+3g5reWgP1UGlhRYDLzJ8qPtxqte8RpGvX6VpWYvQyPI9S2I76/z
4kZhDP/oe9I7lH7zTvgTmvTUvOi08izB8a9a7a07Zdm5F9UzyUHQMuWVhzJpW+r1/ZgC9yxnrw8n
HZUS8oJxbVbFyI4CQcHeS0ixkRDbV8PYCRZWiXsSqdEdWwvQbRbFW9gz4860RnttdDIXLH88nVCT
PDmSyWyn/HqNeknmrjsFSAS37sRYko/Rlcu7fa0jJUWIOVQXAEz1TiO8eGn7+TTJWt1IwugjPj+M
mnzEfHdCyuBigdRN1qDGi7tcmydkEe2HB6zlmKexcaXKQGy0bvJL1EYzXpqxItgPaZyMHxjGxWtG
27hEUdhuFII8pFexvEGsh6p1NNqvKidsQXPsjiCu9M5pNcEjkcMhHhHRlm1OZkNZlPdjEUV3DuK5
lc1SFPCNLtcYzK+CSEfsiff7tZij16TTxZ3ZeNPZnIP5CnaddXERnt2zrinD3nKPnVdWROrw0cH5
9OR0CRAdjb8k2Yxj1eUnNXPvfZrH7uJTg+N6mOWW8W7AxscrfrhdVN1Qp4KzYqrXw1hFzwgxhDNG
uwZv6ZkrmDHiQhJnsRYssa5gT1uhE5nNLpi75N0u4G4znu260MuHCx/C4iao9eLM+ttZuZXrbVJX
dWvD0BdjlA2rJGMepSzrXGCuW2uDbG5RNX9zxtbdCEPL78sAA4DTeyy9a1tsu8nMwZJQFiBgG3UX
ai8KS5maLYXzIvBo2vRKG93g6HSTJNgvnQ9uzxU558o9aAUC8t/G1P/UyX9RJ5uGY/zXOvlEAVEP
7S87oN+/6I9COfjCxgYOG7yRz1r49zI5cCh4sWAx/P+pQNa/uIbBbgjqAltfRm3/LpBdwCQ2m2D+
B4ZwzND/ToGMI+VPEwS0YSbeUmZ4FPGW82e7WYsGT2CiTY7KWThuRRG7I2NtFJWS/YI9vuhx6d1o
DqjXFE06j0wA0MIvdSMkkSzbEASr32fg++WmNef8NgG8m69crcrwb7c7lOTWsa8GY4WggIB0x59p
xmu0JTS3+eRtIVIlVxD8a84zoHir2iyum6TNzzxt/g5pZrKLvMjb2cTb97h3tGhpk92dSpP2kNuW
e6ISRXKsOuJWrQGDwqqcyJLw5nr6lhPyyTXnwQSizcZjrpn9HqpsdKmFDUkt1ab5MOhvea7wEZJB
cVK5FVmrdvbZONhTjDgTSjgxqe7tRMxGvDHYlekheji84jKy93lrau9T3Qq0cmlA7lflo0YogQDO
ZsSdXjbGGVX4sOstbk2OgemY5awBV9DOJZSvzPye6eQSQhtFP1c0lsATFLs32DxQqzdKe69cSpwV
42DzhvFvdZCpeB5BX12yCSYV4Rnj16Tp+3tEv4ioC9ZjbwSgx8+tludBODhkxpNTmqFYrBhSkCx/
KPTcYyCop+0hcQKWXqZptNSU8zQgx5me2BOavMhV8VYw69kHKu23BoS4d6UPxXWqt7eaip1j3vaQ
UCOlrpoIHDPOhw5ZlY8hBGg8ih9dDmbL+xnnz6icyPDgVRr4brgWtmZnFVcAM6OwrUuXX3QOsH0Y
0XBtpI62Z4Oe7MAlL1kndvKU9+niiaoaixCJGVV26aKAXGuRo9PCmVZOliefvYMAXX2iylJE/tU6
cm9q12ibLPO7IkZNHE7EwTJBsRhSONyoP2hLBkaWM2N0Ipk7ip4sqc6pyz1vC+ldA6bA6aIkg+rW
L09Nr2XXJjkAkqyECYEn4hEPzwCzlUdS+Uy2dQQfv4HLX0rMxnF3XsFZXTd6uVeNotsYPXKGUDmC
lSqd4C6OJMIOX9swzR/DRJJq2zo3aRGM74w0cwzW8EKnTNNw03WD3NmM9zDM9W63zYK+guOfRc9a
6cZoyIUpsg0kLONDTHo3rBJ9Gi6jmupoM8rceOkDrBvAugXGjKES38iaMll6TsZrTkE3hqPs5aXj
avT3tpVPsKj9oN6npuzIdLBmIlf6ZEncjQzr0Rp1eIV6Yr8NroAwAbVtyeFtVbHHtep/y7CcnXJn
lvphDvLggUFXrYWSmWqJAoNw2XUD127rs9N7xe4dfG0ZKmv61KzdhobZGFz53WlakNWdYdQVY+Oo
opsYOiMs2oxNaFVU7Uvv2S0KdS9rDmS69+tSo7tc9YxKrxNz7tdN394ZnR+Q45LyPLc6+aFs7eyN
XzQqLE2U8mocuvVM/CaUtIDs1qlHVY1K/+igeQqVlZBX1fp2RkbFwInW0hCHWtAAjS7s9GKOmkN2
np7Pa+KrIntje63+YuYJOTELAXGEykvIcLUoRLy+KQ6xtARkDNLHKRys/tL6qb3EnzNDJG1BSISS
rAo5zKLhEMUzw3CMRs230UOCvbcRmO6FHuAJdHTZIfVttffa8RgQki48nok/oJTOVRKsSOKAxI3t
d9xqfiK+uZOcvgsK/xdpV8bJwrUCGnfqCMywCFShXkKvdpvIIAJAZzbl2k0mQuNNbTJDQ2/u47zD
OJIHEwFELaEsjDrXbuUd7aU1H6uquAvIDl2PMV10lnNs4gUVKEPLh7hyhl3XThFpuza1aMfqgolC
LhH6ksCwEfqsPpQ1zgR4Ga5Y19ZQbvQ6GU1CuPzsdtaNYhyu7EK4xEHb7dSkT0qLi2pPIHSVsx2T
RAOYq6S1jL5/HgZSNm+jOSKPmU701siIhqEyay9uWegXXKPxmWNx3gHmVIcxnh4du6ouAtjXZTC6
iII6RRY7sZh4trTWH7AIVdORJI380a9cuvpu4rHy06Y66+iszky5KNTiEhRnmts3ARP1sB6ViaYL
x+fK4LYL51KmN4MZDDirPJFR7ZblTRbo/Lhurm3ZWia8MAXLXxRGJt00S9prYfDjQ+YyT6x4IoX0
t4/ubb91Dxmy9AfyZ3xq3TFKvlsK0AJC5KHcEVRZX0tdRlSiTXNPnLB3iPnF3xtyyw+TbB1AMkxh
5kiob7mdEXmnSIrfxwYmrIxggdUMeWkj+mjY5L3DeTSkhrpiYeAdElbZITGoZ1EwfHGEad1G6CFs
Dtk8ukwqOtTI+U+MuPGZVMpmG4Gh7RzDvtwtr+dDW8/GdZAp/PugZHaZaDWgq+NobUxzcu4wIyUf
EeGg0P818upbMTf8OXovGVF78g553rQjwiU4jMbQPbZRXZ5Hwxn3PE8ADwg+aoFSegFD/gmM6kpJ
CRAhQ+zLmCoQd5gHS+Z1mcVYmpE8mtBU32eQiG6HvIxOygvmQ8fFiKzCnG6qwH/XcRK9G53F6Mrp
HPGcDkXyTQfweehqrdlVFhZaWnCOGj5+CZc00yontBh7btMxy4mYogRpmFohwDbcF7NO/VtTkqDS
J8uhObFYS3eKSCu1YWNk1veVDJ5Rz+FhGhNY1VeiE1h/CZs2yfssp+AlJaXi3jHg2p5xXqbd3kLx
pq2U6+ZOSFqe0K9Nl0z4HaxT0r1Wsk/ShtSxgFe+NpW8b0XM6NDy6YQS19sCql1ylSs3IqN2Yilk
1kQxtQhG90OvJc9OYznpq+nyiIckm+jOpp1UG7uQ/Geh3JNhwE/sd6CdWGkf+ciabX5k5+hq3auI
1Atl7/yU51r1no2z+Rhgf3gwRNwchUgfROXJTWmJ8uCJrgm9YUReWM8Xt1AvHIA/7DR5zXr3xRum
4c2qOyoIm9j6VecML6Bfsr3r+cVZYCOfbDiovDnEYrVNfqjyXvywlDMS0tyIPF9NwvLZPQxpsW9r
2d9Z7D1kOAw27WLTBnH84LtDuymVqe4SRb2z6vGkltpv67p/uqe/6J7oM00Wk/+yVv/HluHqtepe
u1+WDL99ye+9UwBxkWfSozuBMADiHCXcH/o53fwCP8JEILvQ2z534ejS+uT//K8FmPPHVoEQUgjp
xiKYc/0lfODvNE2sKP7cNKE50WnN4IFYOP3/TIwjds8vsnh2r0qzWSJa4BDiTzO4ZUU4dFrTC5Am
fIYn5MhWHd2Q2Gc4DO50jbmS6rkJ74ta6Fp57HABt/NGYzttR3s/GlDCDtboAH4knA+HUQIQyduS
PVCSv9ejM2XBK01vskNgq24fbwmuK93r0Rbde84zzAFKVW2YmhfayyNekLIqt7DC1qys5b3mKxZ/
6vNcEL8dEpCqMqK+uHVwjc5GgZ2u0ylbvc8TphD+IM5o03IOjyh46Sifmel8nkxtO2bNFWayhHUD
Z5cGGarmj5Cu2syfpxunHyedtRx6BLn7t7mo3BexHInacjimo52dFROPbT1As4ZtximafZ6o9efp
2i8Hba7K4pAth6+7HMP0DpzIxnI415zSxSxvfL3Fi0s8nDzwl+g0Dq6FbYwDHmu7semXQ3/+PP/H
5SoYPm8FYte4ID7vCvvz3qiXK6T4vE1I2Br3yG1KIG9cNmxnowPYrGmnlqso6Ex51AJuMMa36LVX
ERv2PTv09IPPg3OXfd5qY21qt0lZ+UBtXDQLy/VHfHT1kCxXoloux3q5Jsc55ma1fa562xnNJ+3z
VnWXC7a24yX4teDixQp4GJfLuPi8l0kIGTaGSXoqKgcTCFs0b60JqWTxeauz+FffNFk2Wz8ttJ1Y
rn+bLfI7ywyu8s6gOFjKhGEpGOrP2sFeyoh5UO5oGNt5tHuWu6s//s5U2B6TE3RfBKJhqpef4e5j
gEvtmDUd1o0jk9+pAPGEpT8LtsyoGLsZ/qSTRYCsQG0QWRj6+z9726pPe/lXJyraSQY5//8TFbza
n5a2n1/wx3mqf1nsOqRk/LKxDdwvYOJcFFEw4z7nVP/e2Fpf8CAYBL+D/loWtv/e2Nr6F8tddsAc
wUtSM1Lp//nfvxAOuz/9+89MDbwE/3G2LkBc11yELXB3P+FTPynLZNn3Y+Wl2M5EOV9pGZ3HlJuE
/VpO/lFWI3UsVaIX4mWJY2b8UX5jWWX7kmUuScOR12lnI/agTSeNHM+21UePuWLcfCXSeX5P+jSL
D7WwMApEFfuIEE9HvB2MKNhEcNYepdNPd0PbWDTAsizwf2Z+8TGO0rkexeA/JjMkaLwnzANWvW+Y
cl3VxBHTth0SiAOH0RmLTYb4cmAGHDjMFUrL/eBOKr5XOtU4Hhlq/3nE1yTsSx5pg1oPYxP96C1V
3sbaeMqLgcWERMRJGWSJVxud49McCxwB5Gf90CyrAYYdO/hl29k74wEKWEFLq2PyHM8Usi1oXSI6
cSCWmnZXV9k0rryxjG9GzYTGyWHnruLOh1I/1ZZ9jSA6hyHJABuE4zQkr4oefl+4EMcd+osXgzCm
ObT80t91HgNGxgFucS8NTMxssA4Ox2a8T6ciJkwh8I+E8Yw7vZ4ba63K0r0vkxiXILgXYtQkShYs
Mvh2MN7CyY/XlV0HH9LQyRGjNfcYrS3tHnuJPjSjXByHKM82WWfg1DXrGvuKmIOrRTjD4ojVykoP
Gnjb7I9ZRI0eAw+vFHsw9/Uek17HVjzy+zBI0b+ENqChe1FM/dHwfC2sObjv6qAoerToVXHLMMrT
cbao7BYRZo2ziCSy52LQmZ8Ndu9fGaTf4mtVcl5MM17AGtSNegxzU7YpsGHcVgnDpHRO6eMtl1mn
Pc04yFA79sc+K61k5SZzfPb75gdGeDns9V6JdK2Bnv2Bo4q4WSATpAWnturfq5Y12B5JX/EYDXN2
QH8qNkgrMzzllTu+NkbAkntqR/jwFfFrmkVbnVnC2hp1gBBghqt2q/ouzh6FzvxyJAbIT+tiYygE
QjvPGNPLJD3S2MxAGsUH7y6aLuaVbcpri24r0bprFI6yTm901yujm7gTwZoEV5NpTz++TM6EnlAa
5tfY58+IOrGGHnZvd0S3TpVFudMbxljtI5IMtxoj0VXFExqORDseZY/nH+dTyeMNGQqtNc7BnHiP
ymhxotn1ptObMhS9EW2zJJcr8udQzaJuJWfEKtdFbtCTBsYJizik1toGHRbsCTl0rlVjR8iWWn0z
65Xc06bwug84FEu4IsyJK58p9cquhM5Mu5YuVA4CRa02CraklfdHs2zLTZqxELTmYLoecLiuJ1Gi
sHWGAVI98XNXLsXP0cyG8iKNyq5Wae2SnZFV/UULujuV8GDmdfZD+dZXLAuEAPv5hw9af42RlCko
7qEHbTALYipnL+wq+pp0dox7XL+cWn7JvjDoAN/qLivWKDeTFZlkgOlNqCHjkJ8tu3oM7LYIY/za
RK9a+6yPL65bJZsSAVsYCbq1LNVHZ4Uewt+3yi3DmYgMXu16ekBSnaz1UQYHD8AkOFt33PlmZl5c
7Ntrjqd8wxLbOcD7KMEMBMxCY7sbTkyKdbKssvlalo56IuPDRvvoZOskZw82wzQ4ekPvPVDGD1fN
5BYzh1THmbIM8smcdyLtXcc8xsQ2j9WtDoRglWKrPKuRszGPWZhSDtn7gcLqejK0YEbhEM/byFTw
ZSu9ZHqLdYtIEHFTLqnDXlv6V8zfX/GvyP/L3pksx21sXfdVvheAA0CinVahelaxFUVpgqBoE33f
JICn/1eW7T8k2le+nl8PbIctEgUUkDh5zt5rr4YoGelr4DhG3d5vim7UsU1wUe5x6CHhWYTCFUU5
V9sUKQ8qQ0H/LYG1wzUXY9LwJcDLQStZ3iR23N2mnSd/HXV0v2TRLAzGTX2je8gJU8sdtm3nFS9M
x8nlJk8J7R1f/0vq2VvTHrSLnU3lrUFSaDDnkf5EhZ2/d7PVf3GNyHp0m6m8bxooNzM79m1e07Ue
yYI5pJjwVSSvBvDQgzPM0CIZHhNLVEcv7sQreRDzXohG3kxmU549o+72E778266zwc2ozk5XyPkx
MgrHwythJDjZfSbFiAduOjsP93pMVMFIIlRQgbjbhnl0Szch3ScUsBhiBtdbZaPnrmlURgphaZqq
7bsc9bzGi4mE6QIdPvwUl4uM0aDb3VcKYOytizYmN+aYdfuOsUeHKnH6VoBGp4VaL09iFHiDw9Sl
vGakQJhM031qcJfcLHEob+hRj6BQHD3lfmviB9sZjEcE/uZ2qdI6YFPF2N6hl/G5buruTiwOLqGu
QsTFwtTseaNPrzHG4ScRW/iEsHpMGylFhl7QImqauxJzaX/fX3uD0e+NQr1x1LB1ZqROE3G+dhQr
MCfJZ4vZNK3GvnIG3kSZakIu135kqVqT7M+aYL72K2vVuvRUEzNU7cz22tmMr13OVjU8I7Ibd5Ie
qJyQ4tK0A7KkGqR8lXmAZzG/J0OFTE/6qEOk1UGjWqv/q4//m/rYFCiiflYfX36T/3f8re1+m7/v
OvzxY39Uya7AZMfWnTY5tGH/e22ja//CFAEWPnNYNZ39bnJrUA0brgs7mDeZK74rlAWmPX4d1FTf
1C0D3Pi/KZRRUf5YKFMeYwwEDkxv2nSxD37gA5tNS2k52O0euCVpnFQMEL3I98tOkKPsE6aUZnyM
7C48VsTFDuwey/4+rrWx2GWpoVAZpCYXrMY+IfbhIEgyR49h1hOLLGoalGJjp+/crBRoHZt0vdCW
vUSZEYuA0Wf4NJml/eKU42vOPIxEz+JpbEL7sVeOlq71n5iKpeu8rBEpV46ifNgGTyc5EMt5kIpI
4qWe8dA5GKT6utdf/IyW9wqVsPlQlgiTu3bsN1ezglPzg9JxtQ0WyulSYLYPDM0gY3kxNZZ6zX/v
TELJgRsIoA1jsbSHaEwZjFgkQbyK0cDLJTvlX4KEfr1Q2YL1vXXjb3z/yVrTlORaGmN7sLELejsK
ex9aUjEcliy11q4Y+MHOlgw3zbKGHOYU4BI+j+nSROtSuXTcol/OTo3o2TZ9BGMsDnsmLO1h1NB3
L+yEQW6kWIK6pPfXMmHQsVKYInvFZNWkR9mxeW9TbygCs460L8Mg7Edm6UVB+SmMm9brfH0ngd4+
46iH7QWuzXjhFchwM5t0fltexNOtV+faO/5f1e/AWpPFEwp0vJmXGgHA7vr5OvWpuLOx2+DSaQ8m
HYWSbcpCurjDtGOrt5ipmKSM68qrl21CH2PDqKgnYmdEk+72iUnKJEM6Kqs+y+QN3pM43oe5kS17
WBbE+8a2myU7sYiqWqXhoik4TXZcrOowtnQWVn16db5F5kut4THaGvXs6TtulYXGc8G94NXZMR06
lJuVmcCE6WBSkipkP1KB5c+tJvLHmAHhS1PHgLkIZHtKl9HbxsKEHdsUjTgyeIpOYcP4OJ1rPHj+
bJ+0mi/bcwDIrRhvgHhVhGTMddrGXsyu3NkkN6wyu+nlyvF7ZzWl6K+WUsJRsjp/RwqUeJeOkPUa
oEtBEwpRMXoqk5EMAZt6H1+yvOJ3+UNeb8F8mszPLORdDBXGFsPepmeS9hAWWKSSBaYIfpaEfqAe
ngsIXNOagZS3M6hst20ei+d88LJd4U0ayeRODOJ/Aqni7TJD7x5RCL3YfT7cFDaaN2+aUxXdy1s5
RY6/kEuan4soRA3G3snZJh4GArQp9XrQUb5GkOQQ5Q5ee7sseXVHSndx39G+28p5Lu7sxCJOOSr9
lWE2sAgB+OwXkNgbSMLLMbYaBEmZKcVa5rb4NKFjIV4ZcNhKuRVXkk3kikKGB8MsE24qJibbsh+n
DSkLsJ/0MIWlJzvaUuyyzwxnGPN5IjuVmrTvenzIjD/Gnj/odvqwYn4VEiis+dZN7qsEOIny8WVk
qH8ODQj6c5umv5U9mVszX/1So2ssHeFIcqgr4JDsmByS7PgZSH8+D72G/7jcR1XRPDa+XqdIPIx4
A+JGwCvJyuXTZM/6ZknRMI6ibo+LXlfPmmPPO7Nxsd2LGUQc+xAYUptyXgxSNfPeCsy47DbIM22D
RxlZFzgMqQej48wnGdbVfTwt3Wef8xcHK1zY0dVF5RLwtqCnHcI0Xmuzw644k17Wr4pS5fPqDZSj
JXYhJrklgKM2N+Mnx0U0C2+xzdZmW6Qn4paZZYwtaAs9NUFqsvXEgeSP0y7Wo3It5+K1WvRm0yaz
iTSlcS8VJsWnDAQBxAcTJJsvpxQDTpn3zIq8pb1rvYwxTknaUEW+/D3zH1alzhnCL9eVpcl6yHFT
kR2xqnQBBBoMJdenqHZYtCbmrc+txGriaEhbmIJXOADdmTdMSzjZbsI3yCY2Ny0eB2k+0GrlQH0M
KQrYAp8EAeVyJu5xZKsgNb+88LafLx1WyTmoKtx6aFOWcws2//S/cum/KZcYiKjq4T+3E088QMNb
9kOx9McP/SlvI2XU9amEfNUBVAXRnzYQ/xdSFNTURjFkUYgyS/ljQCP8XwwCcQxd1wU2Ujiz3w9s
aHGqGF3DYvlQP/WhifizpqJBd/J7mxwZV1RbpDr4gpAtXJMfSiXhiLhlBYyOo8F2Zo2p2L2XEElo
mZckgDQ0c0b9W6rUYPVVGJZWnv8wVmO/b4kh34kGBi5CZl3/vUD/of35fbuTd/9fPhonx2CLStOk
KPxoUJk6e7Yz4OUHF1Jqdeuzy771FofRETMXO1sZQ/VI0qRmbZIWLl2EdF6rx25d0A0Jf/XK0rjv
DNtr2k09u4X7eam16DLHjUQtQZ//SwFqE2RkPvImZ6etAfwB6qTfokD3Oi2wnF7zCC0Ml8DizdDH
gQEtFUFLZblZ+wlJUrSvJg0LPlGYefNADmE+B2yzUD6zWvpHrx0M5TVJNxM1H8OiuB02vvTEHVCX
AYUSACjZNsW4YiBELvog0+ZbMRf6A9Z5ctNHqyVDHW0BfTYPyZBB2qMZ58eeGHcYkNf89XQQ1j2M
2IA9lNyWLcjVMNJ2bbK0xyZKDYoV0b0letze+hCRAyftTvDIj3XldE/uNQTen+ad2w39Cfv2eJy0
UQsIomGAkyMTuTQgqYGRxVsN8ASrjoqa18ic11X4vEbYJDn0WR6/4LGt3ZU+2PKsYXC4X67p9W48
dxuZjGRvu8sjFNH8tp1Js5jIZgAXJB0j2nqZZn1ruwJVJBXLarJttqbExSfOg+5l9QPFuQCj4/Hy
HRdXQemhMp3pWXTiUxq1uHIgHfCybjZ0scwtYSDyadb1CWeyKA+TU9tUJ0W5rd0eqZzROsO6oz+p
LLXGfhIk2rgLwk2h3gQTb7QDTUa5Zhbv3HPVm5NH7O42BZNxjDDcH33D8Y6xoedwrUs9f8G63j1V
Ll2tRhou6M1Bo5faJctFlOZ0gx7M/TVyY2drkda0wegDd8OEbwXftN2YSUUtxXW3tguWambuWR2/
Ztz2K8q1ad1zp60WhkgPujvKCxKY8WTLbtigsfJ3VhPnm15bypUpE8EJqcTgvoBYri/mKuLFxy1N
XGm4lfQfZgQtlvPCFsxaaxMpu6GHrsv2kbmZEW/ZIp3n3yhqwnMDKCrwpglhVW3h/OppT35hsAcK
JES5fzBHJ215AQokekvvwtJkoIcAyLW7zluZTeGaGHmA8Kx0zJZBHuXRskJVrj3ZU6dATlreA8Jr
jZMPc8zeTFzHw+gubbcqjDy+ITC5BEUtuXpkgy1ra1SN7jHe5rNps0vxQusNkaF0Vkku26dF1uWN
IrZx+ZYmQxWUhvih/XBteol6umKvsVYR48txR0NN5Nh3fHnvAjay2cRVziHr209+LJdvLol/m1B2
1sF3oBDR7WaAUBtadWEllF/GmE78qvacWV8VZDAbQZa0SEkZ8sl5VXWt+7WE0zwENnBHQmEJ0hkv
WKOsA9Zcic2LUVS6MsY+Lm7mis7typ/H8VDBjAJmxSIC/J++9i0gNge0VxKZt7ie5L3TjgadIxIZ
mHCXXX4LE6PewW6giqNDVGk03QxAkjUNzYvDcnAqqImVIjEvnpmrNg9g8HqQvVTpZ7z7zY3WKG+Q
q2xCiTIMuexk8sAYEivQlaHI4R4lP0fZjMbFbs/SjOO7xJTZJ4I/yydPGZMi0GFBUUtaclffkt1l
2VsaYYKlUa+cTXTenbsumXPtpQZ1rqwr2KDMqyPKvbqjIki67dZSpql2Ads6F4b8EnkxVjllrjJ6
bFb0RYNFc7QWKhcmLP3qx+qVNSv2x3TryrF9BCuOcyskyf3esE3zczUWyYM7T4Wx79ouurMsq6Ya
hSuWr0381F8r/OAILo2S1aFVlrFQmcdiymBwVMY0nntsezgZDWnHZHV5qqynzQZZR1nR4PxxuBzO
GYDNGWeXBjexcZ3uK0EsHCLy9eXGYm3eprOA2ZWZ06aRWOBYG6ZDqmxx8LsM/sZNxzrPQ55hCIHT
CCNtNSzotf2rty5VNjvj6rhzZ1O57zqMeOhzaZaNNDVPPRSK69cGSSA+FYgT2HkKTnI03E0XO2+p
wDsiPSKas2YSz1iq6kOK9uDOF7HBUYs3s1EeQTzH4nYi6hmeIEuOnd9EsxdiGwSbAxBv5djahI26
0AJPhwVa11Z6me0K9Tk6BH5gmcxbgA443qRyL9rKx2iagxkAS8XC1PK3xNO1r6lyP7agOE+W3Vj5
Giwj7kgbWe+oHJMZ4VZBW1TTTtUl33LlrOQutcUaPTGGSwv7mLeZlQ+zq0aKZ16n7Ul4ystpixjT
ptEtrrUZZm22AjxevtjOLXT2YML39eykRIBvGuUKta4G0flqFo2At4RBejWR9ldDqRe7EmmOp9xe
V8vpoNyn0F+zZ0o4vq74VbPS8VbDaf4w685jNoX2Lr0aWYUFgH9dQmI4d1erq1IB3RJ+jWOrj6uv
s/LE9sodi12U7yu8mmaBvpZfhd0U/E48taZy1zJFw7rlxnhuvaYzbjqWM54i5cmNrvZc6i6surnX
0/HFzZC9Mr3+0mkGieCzIbBXpn59TDEYukzQPI05GlbXeD3koSzheTfFg4z1/lKl6XxvOUaCP2/U
RQDLn0EZmyoYcF33EPkKwGh79jm2qxhPL4/YTcK43A7w++DykVYiQHcWBM2TWD4GIVOiN2xwzTfP
b+oRhabmH3H6SFVg2iZ6srTyafEvvbVqZbscvNRxCaUn+eOGHsdireokH5BcaouLXihNR0Sfiw1A
jnUkXbewFsFq+Wn72UxJMb8fwdJZu4GXPpCdaoHtyj0Qbvwqd45j2vImoM9QNvus4XoGkwzjkFcr
ZFiwVcJ7JMzMCqrG1TruL9igXpux0Ma+qHce/bn03MZzNhF/6SJOpaHw3IL4esDZ6X5tQg8F9NWH
kIGTegOqpx09wCHlrulapt9aVGBpiI2FVwb5JcMuUb4H6EBxcYQ54t9Gg1u/+6VukVuvR/qh9lJs
FGU1aqtOkIRCSnQTi/7keLPJlPd/27r/ZluHgF1Fc/3nbd1DXP362/8duvy1/PWHPvjvP/hnH9z4
xTB106Bp4rOJwsr//zd3rvEL8nlLx5jzwcCEKs8ksw6CF/vE383/f2jxMP+TW6ITqHFtnP+LbR3K
2Y+bJ8/zhI6GBD4WUSwuNqnvKURNGw1t4WNT0FySx1LG/o9MdfpkE3k+Y1zTfpHQqHFO1wl9sfol
j2ztoEv3YlZDDrZyifHudlZBq7so75j1P9uhjqu/zpt0W1mQpJZBE4fWcHOWZvIvAdXKFZznS61c
nuZk3KWTbF99UZwdmZ+hx++gs4dB39p4b2Rhr5AzQGdtk3dQJsml4DquG7cuV0NZNbg3PSAptsnQ
X19Ola/fOUYnEG/IV+jD04pmNMPYOQO0m7x3OU7jQpBR4FbexRXTTiZuzeScmLCsPNO9fggnXuRW
MmwtMzsP83LHk37SI/5Um2oY+5PXue6JNGyWNxtKSD4ab5XrvDRzt61gtGDQjMVneqb7pPWcFTYS
HLYd4vNS8y44E16yMX919cXYQm9+AHoFGsW46wvwY9iz3tO6hEAc9elW5JCoRSExwrIrQAE2PkVC
Pnjl5KzRU0YqeuKNtqC/M2JrH8ELgEJcHRamg2tNdlwYdtqWnRzNeCAeN5ueHOL6ZG29xAJQ8JS/
tk1KW8u+uDHl1wpM9sbihFii36t+vrNyvqtZ9OyTagxVlmo9D+GKEFVkCOwD0JJwocyYHXWoEJwM
bOJNkvn9GghEdepJLdxEmrqWcfE6GDNrLTytVS8rBpEcq7b4A1qz3MlOv+tNuYNGfzI8AG3aqJ9q
F7MLVc+7gOy7AYh6zrLpZPLl7L3Kd4C7coZYh56XsA+BwzkgsX2hBexeGF5QqQYoiZab1k6P1bw8
t1YDR8qengrdRudTynWJTDIgNOK1HKW/yc3pzauW02hGyTqN2+SSNe5LAh7Pa8QtzGFjzZRzO2N9
W+yh3TfT+LQ0NsDpuudGFXsMfsSP6R5O8x7v3zAsJ6eaY2aofJ8EpIuj73InTAse+cYsxKru9Ocy
Mt58Aam4gOpFXyJHVTM+Ne3wRFzle8Hbfq07mHKGYnoSoRGvMlIet7nJK3FxtHhtGAl9fXXdjdK5
YMp/IcWDoE3LZlRhuVuAF8xz+W7iCbmSFA6ghVYJOrgdNWBdtanVX9MQVq8L7T5otXC8F+h2MK9H
KEAaSPwzDpN9487jsans8QByxzuQOIbrIJ7zjaI1Y5uo562O5uhYxE23Znsg3tjqfmXb6twY7D8w
20wVSq0A43SdBj6ThcDNFvkauiDXVlGNfmKXWk0JSjB8LibNGQKmTH6yIntgDUrjgkvlayuYM2QT
5vLYYYdKKErdz+2msabYwC3nOCnqgzbinUoyiOM2l1yL78oKIYzUrOdKM6J1B+prMw7261TO7VtZ
Ak8rtTTe5AD/MLDDvl58Z1skxRCAJAvvjN7uyVPg9l9S860y0F10TUFvYwTMNpnGFjsz3xvmH0px
bsMGdSbcJMu7tXR32CEwwNaduS+u5uBdaeQhHNt3TbYny8mO3710/oYD+UFNDU9GNQc9mpCMR2kW
qv//neIvSR1roGKu9taoUJdD06/BHF6gb8CxNJzfVfj/ueXGb/sOmXU9Go1KXUWEMTX9qN32LTmU
zuwyAuBRD0ojO5q50mYJFvSfn9ePWFXYMzQwhU0Ar6nrpsLd/Hhe0nUnkdL735t99uqHrIZqOU6R
ia9RF7Ln4N/07c+P+Zd2ojom82BHqMEw//zxmJEoaQRgbd/PvR1v7G58qiYebE1Ye6kpzjHni8bn
1Hasbj8/9FWZ+eHKqv4qU2kXv7T7MdSxRn6+pLNX7ruiFUHK6PZuDhkSslyc0irN9ro/vclugtYu
x/GYjh3PLVuTFZXnW+ygmCiX0xAxDSBQCeU2PHuEOhuI4CfJ8AG6FPMr3D5Eg6Tnki11YY8PBPM+
63aMZW2yLoOXa2sMov4Ov3L9JSLAFmE1y8PPz5Ru9sdbCBkHIZ3saXS2AR++WDNPfLCPVrmPzW5r
Vfqd7i93DJ2bf7iiH/PXrneQBUsYbzhSXSa0P36bdK28if/JveoDo+2m6W42Emuj5yzCJdGOQedl
554N630+zndurxf3ccQ71Fqi92ZkXValCvMh2sjmBAm1C1e+HJ4IJbtg+dzhHe5BcCUFA//Y2TWT
Ob1EtjnvgN3VgDDm5DTobfcAwft5anntD2ZiHUkfLjbAjaqTVSbvYWI7qzKDTY9putpNWvoeVsuz
Fw1b5Ie8vGuxj2d7H4M3wb4NLELU0ylzyQdCBXrnzo1YmSa/2/e0r63NLMs1qLF+/oX9zQojSIJE
66+j2UCq/ON1XFx2gZYmyv0ijWs5MbGy2bWJ3ECK/c+P9ZdZA08gWmmLb8tFFv0xsr0Fu+Tm1lzu
7WzE8J0cCybf/3CIv1lZXLbTFnJrhAiwmn48nyRmBJfrermv/JH8iWRizBwub2qlTxZBLlPL6N+0
9r5mXmToxxuGe0dtCj93afrNw861MouxXWFiEQRj8BKPybtZ1XNxZqL6vjikhJMFku1zge42tYVc
0WztbuDtbUav/uT1/GeHVKmDNcOdy23qFsMQ/ZrOUo30H8kiNgtzBwWFqDgzebdJZsGEm51HGJmZ
Hc1qCE+BilAZ5WO9LsuYYbzeP1SlGW8ssfw+2PuPa771N08s34XPmIt1GJeQ+eMFI7Wqn6q5KPcG
St3VGBfJOkGetjK1jHMmmGCVUG6RheBdCps80rCD9LgA/OpT7mW6GhvNKYetDNl29w6p4EOsv8gU
jbOnEmKBl15C4izWgIEvMX6awG5ZiWrGp0D/52fdlG9Lp68Sl+aDoDrEDg9pU5vw7+vPM4UY6Vtx
vRM5FsdaPkRI4FZpy/1pwRNddc6IoptWTFCA8toRJPXs1+14/vld9TcPCe8M9RcdfnZvH66RjBo3
7yWSXemVASXOtHIlH8diBh/W0T98I9AsuOQf3haM5WDG2XBMCVz/8EyqkYswraHctygvNoZDIrQX
pseQN5Vv8P0sFbckgS+0DpkkEGhNBRjlZ4dR1WqoQtBapV+v6RUBE0K+QJccYnE5e9+6zLjRRu82
9/Hixj7V/lRWIhB19waU6GHK5xMwQV7G3GaRyF5DqapUlBrpop+BnwbYYs015eqG2bq3JQ71ct1e
YumG9Qzmee3jcnQ0EkzSWo7bOkQYnGOpOkwEVFw3QWE5VYFECXUsB/mU9GwkPUXHWRq2evYin9o+
giSKyNcX4xOUl7tGS44I+5uV4cJ3LrM5UP+iFfyXcFQ3ZD2MQBjabqMeo26yL5Urn5xIbSBU2rrn
1CpynWoJecV5ajKI0DV/utXsF0BSPGL4cm58e3pr+55oHy5wmidnwjmLNWk9vDJy6yWNxwcpLAdd
CoE5ZXHUADcthTIaRDzAfZ8f2RTvipA3C4Fq3Jg8HY7sz7lhf407TECZYV/GbgyY68xrtTGaSJPa
yaat4FfbF4QSLyZChH94Hzt/83hT6yDJ022HO+ojxCSn/9yYll3sO3d+K7vxgQHMhfqCi8echElI
9nrdaldKWtP7VHrXZ76M+y10OEnKCz/WFAKjbglEIfMDD3CfG+R91NDg9cqNPw3zPgd6zAYtK0gq
g87UkHHz1mi5f8ZESmRPxHuxx35/U/IcrBdXXEyNNSbt5+dRUG7prYB9pyfDeop6dL4elXXExpD3
YYw7DgsuZbabDk/9yAramooPwJYUMRGGtuHBsodkR7NvYhKciaCRCwMQ+ZSGKC0INUb4XM1vTrfU
27buH1x2B/sscS4jLxE2mcOTQDarqvne/fP9+j9n6z/5sHj3iu9W2b84W2+qAR73R4Lm7z/1p3LC
+4UemckOV/xun2Ld/ZMNZP2iU7boUDAdUuc9tST/qZ0QNNhYP2m7YdeCH4Q69I8Gm8kv/P1NZ5qk
CQj/X5ldxYd6hoVbWJixMIyhxXD/Us8QtCuHKjFQRtIa9oI01YwHPW6WswfQZ1s1qadqSOjAneaG
T0QFtAdetOFRaxMCQJmw4dQCj13pSH/Q941qaoPyyGMi/uTVBfM54rlAnenIIg3gXbdGCUuel59x
Q6xO/myZyPlrxaymmxxi+bBiJRRyx6BtMI8YkQ4XoC+gGNDpdx6Hcpj+gTX/4cXIFVDxG+QTmAJb
nFAKlu/3p2xpWqQgsKYZ5k53+KL8HVNBf232vTovPvd3t8jf7Ic/rGbX4+EvRjuMpU6VrD8ez9Sw
Q0VZVh+kBmF8ivJvyumh2P9/6MP/Y130QUKsjkRMOnYnANLsicWHM1uQysNNcnIsdagrTAYkzGpt
befBE34czdzazXEaPvzr03MJXUSRw81E8oM6/e+2+0TXgCVkvntAQMpbRVOq4w4roB0Mk40o9d8f
zUZD5KmAFcf9uIWKfE8mZZGSlKhLOzuXLQmbk4NFjuBh/+nnxzJUzfJdTaOup08Hg8pfoBSl/f3j
qU1ZlMdFpieHJp5ybEUxapmgaQpKm9bA8jaj0B0QzNxIoN37JQcKs0k6NJM//xx/vYEUoN916dTg
mmd9//Fj8Jpy52JgJtuAtmCU1c0IDckoffKdGkHezw/213uIZr6aN1PD4Qv9uBlukaKIvnUQNBrL
cl95bRf0Gk9wDXI0PsxdwgvYLX0Y0z8/7t+dJNsfIlIdB9GZ/mEPlEUpeVgOkUqlbFAKjnybUgxK
ZZ0M6b87lkU2Dg4ypVTj6zXYQPx4QS04YcYY+8khQTETNNPssltCQH2KZik+/fy8Pqy312PZVMSM
NNiq0GL48Vhp0aMCYDp6WGZ2q0HFPO6YJ2jYg58f52OnSJ0TlEDPV7kz3K7mj8cZnLxrnWpK4Ijb
Y8q8kIn9in0rjh+qlcc4SQqQqNBVQakg0Qo3aBnif9hyfLh31LnSpWKhMxz8xvrHewf5Q5Y0ds9n
GDsABcbYoOgB73MOxVwcq8hDMOKI+R/W8+sl/O4xVYfFMcGJC49eGdGuP576COKuWkI3OcReKD63
qVMcKSvnSw0XYEeRVnarXqsmEC3zFLnrUKKFP0innH7FxtuQgoTj9piFJdRRxXAIoSkdwyXV7n/+
Df3d50RxTmngUh0wd/uwRcpsEUp6F9qe0ZfzbZ4Hq12PTY6QIcwd6QAoQOSAwllzXebcMjvrozkT
rluG4WHIKuvk9354ALQsLr7mdO7WGeMqDarYd8fdzz/rX+9aT+dq6ohuqUj+QsTQfRTYXS6TQ+Hr
WEsywsgy1AFdv/n5cT489Xx1ns4aw+IGoJcH5MMKm2gmF0XrEgzwKJP9BBk43afKPkEish9/fqyP
y/n1YMrKc41X8PyPW9TZ6+zOmlKWc1w1QeSFY4ARjjw9HhV8iSqpZJLzyRgm94tWlNEO0UD/DxdW
NRS5HX+8XT0BbgR8JEUBH+fDOedtrZk8GUSwD7KdD25uspj2/iTqQzTUyz26ff2brTJnkuQaF1DH
JConSdZ6+FR0+9SxVzv6ODrusAMyOOiaFDl5w6YgWZtZsZzzGJdQTEDHw5KL8H2Eg/vszflyxufO
ZsFvWke5FmmVF559GludBbdjy/xgg2J8dOJa3/ewe2/iktCWQK8T7Ulz5XI/R6HAmIKk67Zo9f41
D2f920JG4RlICixzfyrDdywsdn0siwbvZokTfg+H2wJwh46APhJDH2qEKrP0Vcke7zX2Q+OtHArx
SV73y1N4zT0louE9H3tLBkUP2Be/ShqfI8GTbdksLUY7Jt+GmMW76iL7Pao0z4TCTNmI4EH3Igw5
Ph1LPXasnbR0iqHSJULScwdzU6aN+8VrJDn12Gu533j6IzLLKzVbrOtWu/fMjrUT6J77ZQESHEyZ
H51d9bMdUhLI67aw2Lernaab5NoT7Lf5zHsmf26aWd5eL2/IPnpjlrF+X4smJopicfP4QJyCI44m
YeTnLPIL0FwEfaHlvK5WDCZPbQ9WcO0REPq1rBhXrSt9Qo2f5wZOGoCdyK1sL8EQoOsxk7nE+jy0
Oq0pE8DknchMV/lZ+T0SvNfZ6eEqQypOvrW6L0vsHO0c7XwCMZYV5B37EaC3+OSVY2uuNJNrW5AA
9S2PCnNr4G9+Rcil5WhoOhJ0QsJ/722JlGzdZ2QO62Mz3SYzFJEAM1vyNXd6liZlFTBm3co3Qt2H
BbTCo8cwKFrPsdfjjZkMChijqJZtOebcS1ebVSRJjcaupnKE+m4kdMrWGBgvBXXOEHfYcVNOAJ1l
CpZs3XGDbQA+16+xjHTUzB53r61yYdoQmsN+iNkxwAvWGDKrVrkeWfM50vL0mHn5xl+Qwk2tNd0S
ad9s+xQ9LXOOatN0ISNGrWrJ2YiTg+615Ql5skVLKk8Cx+z0syHK5Tg0ugOnyw6fot7dVJbCtztl
dp45GmHhtntbLO4uSwhDbcpw2gGgE188iPSrmgR4HV4VQmvyfXVtWpD1mRD5IO5s/QkOMvxDZAxc
VdhayXibROV8TA1/G8eAAEA5VEemRcz8tAEeJQCxVVNwWnnmtesYA0gwjz1oy46RSm9bX1pU3WcQ
8bft1KtEWTEFIynXaJBMsbWb5JMTOsVm7mrzlDNK0sk4Xdd9KXeZX+jrbGHIGy+6A7DGWlaJHz90
8fzNr83XetC6TarRX5kd/PImqq4D8+aXRkGYV7hs8vU8ebzVhtr8WgjruDDdou2XXGIngZ5mOU/j
GJ6qEqxpD8ZoExPaeozzggXYUjVSYc4XJxHiDOu7uTdoBdK6sjNAis5N5jazVxPgkzLEJluzMaPu
N5gI9X42KrCoRIGGkNIikR4NJq7GKtQi92awcz5QldNsQlFpLp/sxRLbSeaQ8WjP+CfoBs0thZIV
B9JR0nSXbBzykaJPiALl41zZ1A9VV3vRqh6X+Zy5i9iEBUQmK+u9X9MC+upEM+cQN37BQamiz22k
P3i2lA8uNqyNWIZho94/+PireozXSd0Ud12P7M7lScsPmAIoBcysgqI6U4tkOLDKrHQ6mkxuwlJU
SvpUwGhXbuS7+zpl6zNw/wUFZd6WDF3UZHJENNnWZnHb6f2zmy9NYCBlv1jN4qXriIiINOgJUUpV
FDQEARLAt2Wa2Yp+2G0dd4g+96DjTmKYgj4JodvKQYea70n/q0gnBk42ph6a+6yTh9Jv4yP2dTj5
pgRmuYwFN2ZK7cAWIdfuiSJ2N8XcvpTQ5omrBjMxWKX33mPjhMJRGuaTWdju50kCadvpdgJTdKBP
HVYD9Vg5Nft6WfzLpDXOPRA7xqxVVa+1vnH37KB9ku4Mk067MbS/1abnbWqZzkTAif/H3nktSYqk
3fZVzgsw5mi4jSBkRqSqFJV5g2WJRIMjHHCe/ixyeo71dB+ztv/+v+zuqugQ4Hxi77WvfuUIMp27
CZlPaF5QataUMLUPq74MH8q4JfMtBgxM85+nDmOKznwyMoPpw1CGZ35UmP8uIBcewuBEamN0fs6L
6B98ciFOc1v3UdC0VhR4XAKAIqD+k7p7mFiC7T0c5DvSE5zngoyL+2RA/1PFZn6KGWmuKV4ZQppx
246xeRhdlws7rK8e44MtNkLrPmlLwhpb376AscNdKxcCEN3WjKpgag4lEcv7cumDDzXwkTho2u3Y
I6PfBkPTYRyN3eCQjrVFIsaE+Drp4+SlFrN9q0TQ3IklpuwP7cZjh0tE9k4XRuMQ5jGWh7Ko/Te3
8BjiNG1yA4YgaKI4dsqTNkL9e6Advwz2pB4Gx5gDln64ibc4RnimE5rcrdo/95aOHbwXbCsaALM5
YyQmCmkc5HXKq/Jeeu5wF7D1PNptnxKOFwbHioHyiQUFc1gzDm4agpuvuYKx5SRj9aOo0SfvChm2
r07itnuEFcVn6FYZqcA+pgdg+cyS8rJ78Xv5XvHSu65tEOiG+D+R6cbL+CEQ/ZL1YPTGKZGKWjYw
BZuttCa5OScrxIx1thUNfhfmsbuisn7iUZNRpiTJvTiQ+l2NoOmKQL754Zv1SPBYjp445BmIxHE5
aBcMCdL24d4UY/8j7wrObHKPqpJDoCsSQsEdvy3c50Go2u9/gmwKnA1hznP6mRrkRAwZwFBu7KGm
TRqMz9ZL6+vMNvM2m1z1bCTx+MPpsuAtUSGD+jWQBOeoWAKkpS5II58YyZpVmOE5+oyjIcTh6Y3E
RIKLEMy2IdKMxKjk7eoNmApzSxWFpcjSfjSULVMNpCFQf8rZ5l0N89Gpc3F1pqyEyzLxzEAsDtm6
VMrzqC6blOyovJ2PJnuWs9kRoRINjtVwnOkl+RZAwNZbJHCAhLAUiq3JdIjrEt3rNukX4wkYstiH
RCjvJA+Fgy3kcJZLpn5KeqNVf1xGtVHxLcDSfY+t9VJmoiSuKTGpNRS+bj56wo5ftGvZH4YljU8L
c9UlDgg1cOsl35oNLzs7c/hs4lbdWMrt3mMEXpSTItzicXmmMI53Q4zLFcrEo2e/JLgiNhpfMH1Y
zEVVoUCoxUYExqPPhnOT+/WyFX6wh6nmbboafAVsl2ozU5xEvk/0tll3YEfosckBd5p1A/OjwN1Z
bw365I1KEelpwsRAFFl75U2/h8UOD/TyzrZFlrsvIHWBoPbOVg951sxG8Oqu2gdJmGwhhxiRH3M5
i3w2b7RbHdRiAnXihdNGBQdLt8WmqnR5IK9n/tZ60EUtFSTXvB4/DYmQt12qeuONo3XOGOzuIG/O
56zT5TEUjAeseQRwJDt1kGRv/igGGC/0+Dx1KITOpK84pBxl7b6aBhBCw5xfCpNFp5dQzVNw4Uid
Pbh7892E8Y8o39k7uh05daIaA1oTojhVgDiPUvB+NlmaDmUOxm7ofw+d0eyk0SwH08vWOKHwvdNG
te+09NDsMTtYkBaThPMA1+sj85x9Q6IpdUp4S+DKuTLat6lawL3GZ+gezwSyXjlyGRjBJLnxuuUz
b5MXNqSPPgnmkmp6W+flRygysH8FQ0p/CH+YLhhxEKhg+QzTfW7KrANXbP2YQ5PCipDjKEitU+kh
0EPcts+VxOPjsz9PvJ/VGEoW70y1SaqgI0gmpV4Xe/k5j9nJyxW2LiLtJnRrOnkVUPWg/mLFPeOQ
I6NKa0BDmX0wMXe32XfCQ3u88unFbZ9FMCqsd224S/vsm28n6dGfQgAP7ai+G1YX7OYJK+NID3NR
qjOO+HbW21yLs2tn/neC5Wok260XkONHJGTWeoxHWW/TTvhhOh8aeDw7ePFfeXPechlG1+j2aTU/
Eo8Z/gIQBXraQBOrcVuEPVZ+a8QffoO/pAec0GLpuS+tbn09qy3yDzhmGLR1jhsTPvHAFc1CFoMF
U00nRzKQl+be7MEibgrqoSP4Bd+4HaALZVFvNDmSzpChqddPtJwrvqJTVvwWJEX82cceNyD/V1YM
Li6jjlKERoqc54a2KOGyV1HD8cKcad1p6AZTs0poEGLknPu6sVxiYhayQHnGvQRtrK8GOlQidoFP
DLr1xG1uuNm4G9YQukr5HEvT6lmuzbU7MbN5/J0vBA7nnjYvAiDC3kzYFqcF+X+EFzDkThzffDR7
d9h5bkcngsdB/GiayXOvQzquLW84IDNNXdm/tvVI6VAaHmwEk4hLanteGimCQcIRDToGCEysvunT
X6HIeffKyoqyjvIP5aq8dztix8yxPtUrimPhkX+yCjAYWW/HZzt1GQqA87wGymdGsG5qvv5/o3SM
ncabdYo9Um/pE+C5EZH4/euPhEFlPQqPth+eQXhgKbscIfDLj74a6MHmzmJKENjT3bRQ9hg0m+x6
ltpDmM2XCeHT3Yh0aPdfg2JZzqxR5iaIVMHcuKwyiUgiS8ODEfIWWW+yaF+G+uBVbv/aZAMfIMt5
Rc6RBd+rIp81K83vlRL86uDAec/T3J06t57vi5l6dzFSEh0LRWC01HrYzoLP5VTMwqVL29eOqSTx
UOftgVKN3l6p0u+isVjVetnCVIThJYeBMulOBPDWxhnd9lTEoqq4/sViXMImkR8M/7KDKHImisFy
E3ZdDyatDIlT5dlBCFKdLM1+KKYJiAGZw7culqubJl/YkC0uw6t4AXexXncGkaP7MecXsBfyh4iY
AUk89LCyxnkNUFQpqEADe8aaoO4sD6Vav5NSsWUz+Ud+qxllAFGWX6gPx5TL1arN+oBR/w/fvK9j
yHAlkoSmyRYEt1wBgyN47XBcX7DMvW+JFRq7MEWJB3uUeb4vg2iuffGdbNBlj8cHgMiKB5DNwLdl
emhrtqbt6+vIC+2wUIYu+2lDfE9NF9VKMaD0znqu+9SgvDZ95qyk89DwmxAJPxf8AjdjztVkL7xo
Du/ig1FibcNascbnAZH5JTSn+DySu/ERp8SEa9ykcmOk3MKOrdhNTkN8jqXZfBR+j+2ynQ0iNvqx
FPhyyth8pDngE9aYsFGzJElBBYw76BDWsEzoW7pXAuv5A5Uoi7NqwAuMPcHOU4Ee9+uGtfoi/VUt
lfxog4z/9az68VwOOj4NjFwBKQQgrxdCEBLBRG5o+XthlxU3HL4/FDLMbWpmtB6D/FmLIIRISOx6
PyLTEgO/zjDE3Owzd2CsdMjEog7RcIG/SRpPX21G4FdZkXPbTbjFt4u3mDdlYpl3te3FZ7e0eecD
nY8b1RyHB2G7DD9YiwaRy6h6O0lGc650GSmAV0aIHGCfBT+uuEr8RfxIRE6usRcYDS4syT3ddG4c
NXSne0wLROM6fFOEPRlPBBPEn34s+cDhsF6DnUDY7JPiecbGSdxxQMASZow1jzzwafsCLx1/IziD
i06DMX/vm2x+n8eALVRPQd4xSpXJLqWs4MlIAvbF7Mf6Fj2WesrEFPySoxN/Zs2MP99NS01MKU8m
J5vavXZ9nWzIt4OwE7bxW+6tUch9B8ov8hsG3FEps//kXv+v0OEfhA6WYBv1p+n534QO1w/qv7/a
iP79l/5jI3JXMYMv2A04qyrhzzai8F8rzQraA9phVA4M/f8jcwj/xUQLl0+I2c1eo5D+n8yBpNB1
z2rCm/Adn/G4/T9BRKxbtf+asQsucMoLQZoylK6/bvhqoXLML/CL/MQkwDoenfqSzIl+rvDJIo91
3X9Y8v9tYUIMAMN8pv28c/rcvwz1mRukmNo9fZznvHsQxjhuPW/K/mF78LclHx9p1SwgefQc829K
5cHtmbu66YwcvEWHZc3tQ9F0aAnwBe6EMZUbs++miKxB47Gf/PkfdpmICP72vYLvsNYdX2DxG/9t
y6g0x6X2B1IoIUIyQIM3U/o8k0cEtGAM0+4MUrLriar2GYNJpizrFCMzsm3POfaNQRBhPQ3t2hVj
ZUa5ZIIQCoAnYWgp+LMlsk5ylMg9GoFQ5jwo3bjnkBwCrT/bQRePdh4wCZyD5Zg6Lies77WMbACJ
x5BaD+v6AMNXYhLg17Q2Wjd2h8tRtLP55NmWvO1ogZ/oeeb7wVbxefJ6+RFUVSa2eHP1ZwrLdT8S
+getCUZAn8/1JTZRN3dxBhp+aqya4ErRvKeZlm+oVfiL05yFl57zHtmjFz+GI1NtAn6kaE58VTVy
bEQhJiYIyHQHQIh8TOH3FgiHzHrSjeZ0nZv0zm2X+tI4IfhNngblRvpZ99CUI67W0Yf/kQ/gHHsv
ZY1jz9mRmmWKEHZ05wJDxwP1GqHoyp8PHhkKp3YgtMS0h/ElpxF7afPF+8avQ9Qf2oxdbTHwVdBU
f2oiF7eJb3INTbV+Toe4eUMczC/TylocvQn4mT/xYLOHOrx4UCuOoC7156SkfhYdfwU6a//qgc68
xHPiEJs+mE+KIdVrPkz1ZVXvX6oq4BsBsE5ip1NNhBDCRhIbkEVy15M2RRbUaO0YqRWPEjDWRrEm
2eZW0/10Yv4xKRA1geQko/3I8Knf1I5qcXlzOwfGoA8eSR4nki3lrfblhPc0p0Po7bqrMSMjTJF9
wIJtYYDsM7w6GGZcPCaAIhnWpe0tqovVl5uMvwuB37UehmJPxorg0DCb92xuxxeSP5Zr2I68lJ3q
gwTssUbBBJdwMuRtDB5+6xmte2ckYmTiyGfxnDxkp5dWGMcKLsUxrcffbMf1AcCmc5c4/BLxGAag
a6WOKtpHMLiMpz4nyKkfTCndLY7fnGHtTAnJijeOHz0Rtz/RTC7Xekr1szVVJLQ33Axl1xZ7ZnHD
L5F75hMcgylCakWvYvDd9gm/I7h9vur1Ei1rehoNjWS/FNoif3fhl3AwiB3I89GfuIjlW5n48bns
i7fJ6BWLxA6SdfBJ4035lZFPlW76uLJOae++C8YPK0dFvSQW1+aqwM4OlqAFcJzyneSykdmhL9nF
u1yUa0k0p/xQwP+GPc5EeSdZENyFw+TeKR2bT3XWyzfles27wVhpt2DO2ndW3LzblYvZxjYAUgXr
AsDIqbuCemo+EkqTepsB8qJGAxf29eGClJuAuFXjcdayHqIZHPB1IvD0ldFn8agbFpybMeH7McES
n+cyr7DView4NODUt3M8Zwd3zhAHADLlZ6qAqa5LrPa7ibHwkgvt2zuo5+3t4FlJYL0GRWgW3tvY
1NPwM+uU85aZdVUkx9FeahyYw2LUOyyxk7rqdord85TYynm0CwYBGMf0swmSbwulFFi46c4dOqPF
23MduoxMUAayfZgHjiZV36qGPcHAFXZ2jOJ+ED3ga1E+Gq66dSpZkcPluw8LTdMGvKJ9S8gKM+T4
loEJayefmyixlvRUWcVzj9Rqh7Fe7ZSjf2AEUTtnVL+K1KpORAP/RKKQntLFSza1qeSlwcm/K91x
ZrSaDL9MjI+7JOtv5qGN91BNzPO8ILY1mftvS99NokQm2a2zsIBjpjrqbUeH5OXB2SjgaWdlWxOS
F8btCYkAgBNjZh5GVPOmygo4FlVZfiYSkO7GBqp6UL1D+JZTP2pw8jurMsKbPE3ktffyae+l3LBt
Xpk3mY7nnQoxMyyaH9IyR3ESjPCPlU9XIwc7IIbVgF+7UoxHUoQPqcBQaxmVuJncLDyqxPxmVwCk
PbBIF7MO7RLS3Tz87OU0eVu3DdHmwo1ekbAljkRLZigxzImFbcw8pmdSV1tCnZIpNJmwhh5j5Hil
zMb9T7uZ1CFxE555PMCD/UiU8SYlcWiX1177iFbR3JhD0e8TJge4+QuDviOY3wMkPZgmsZ3Wc0IC
bFkUb6ERNz7eP08fWBYyZ/I92joEF+nWHx2bCtFuH6jOGFsq1/ZPkvNVRJpDJCV0W1r9RnJfXZ2y
lzfsVReoT8I6WbMksjdNuav6HY1Vu6kbrkCmye5Zet38vEw2MIOcHUbQ4y0oI3s0GgbB3vIhS+Ge
LF0tTzKXTQLVIjzOixueKhXr+6ywl2iMFYlswGW2nlVWXO7FuCmhpbMYs50Hv3cKigNtggmEOLcR
Mti3AE53xrqynghKjpzQzr/7HqbuQOgJPpEeNwpi6h6sUMNYDuuUafAsp904ZZnNUNsZxygxkvCl
DBLzUMJC3Hl2k56CcYa2MMXOtQkbh+XJZDwiNsAZ3S5kVCESLdmShymrfq+rfjtJe5vGi38JCfHC
hjZNjHxL13JZv6XFVfaLeSL2j41MlnrdTQnr/00BenA2vjsB0LEmSCEpwWPBNjdz8VtWVVVC3qq9
ORK5GE8LnJmtrIzuoAhteZtKlbEwJ0fu4pDg/bOyc48VdO+MS8K8Gb7KWzgKcZzSgohmGCwM5oy5
LvZ+6o4/GmiJ26Gc1rpAtg/zPJSR1xKVuQvGKrsBpVQWm5isPZ/Lr0pPnT12l7DtG2fbQceA8dW4
2ZHEuriHPd64d9qKs+OS1vKHJemN2THqYv1taPzWEinPbZ5Dq0ohd/v6Elos04NaDr8ClogS1pDV
FHtR9DxwJKfwZ12WjBu0ET9KNqncA8gvLn4s8Non7tpuprjYWpTEd0uWGY8G8Wd83MxO9wpkRRAl
IiAhiyIvBXk2yx+zVIskA4wfyVx4OmtFVfjv4qvNLPMJQG7/S+Z+HkQWNHDqZKw3eIG1tnaUod63
GcxGv1kLxnpnAbeJ8tQqT+i06kvZLcvRET1alGbiMO5yPCiVZG0SpW7Pwx33oPFYJ6F6ySw7uSM9
DmYltqPbZPl6F2FL+JxHWUqU+3ooI2z4xIpC2BhG7JLpRmvecwzWv2zpNWNkoGfjqY3Gx0s4iDYV
JPmINb0+pPDnX9KMocbGbI0ADmbV6UNSeVABiO7ZkYk6RUnCs7yh2Hpj5Fxte72Wv6HXvPnDXJ5Y
x4iNnTjmU1DN+jPQMsPUETfIYjL4oIhaNBKTWLAsl3Z5KoCG/JMM7v/XQ6wCQfolH8HeX41JLDyK
JkmMAceu1Z6Jjv1Cg/r1tiWB54EVNeW9Ddlz5Id573UXRPVU82Wrwf2nhsZc27L/7hP//U4QbDDQ
gtbAf/+TeFk1NsnyeTscSSfr0623KPfO90gnSAYGVLAaWBKFfLP4e+Z7H8ooTC/XPjJ7fU/imguz
BgDV26O+qSfZklfoOHdjZs3PExX3/k8d+P2/39Wf4YImzfHf3myAcQCVpxt64V/fbEDIoT8adn+E
D42MoWcKqyU3mjBzIE+Kq45HEReYOXLFF0MfRILn1LpJbz5ySd3ss/H8B8nnl6bzv79B6EYIv9c3
5SOs/0vjm6iWayRL+mNV2WwTQwa92FhVCwbeGA9dp9KIo3nZaRsdFJIQKqhc0rz66XqbOmNB8K3T
nu3SQ+EUu80vKDr+Q+AlchcO7XKMjQ6yRju4xj8IZvGl/e37RC0fMLygqSbz5q/iQ8j+SFX01B3n
lmcaqCbosS0w332DfIXvsp6iMLX9T1SY4xHVZbI3TOsjyOXrVCf2LnMplwx3SiIF/PU6dpbzNkpZ
wwKGfitEZb9bDsTmq0xkPd50aRowgjeLSDhMXTMG2IeKowQzcObeCTOVO9g71KtlFV4oIFlfzLa+
cVKq+a5VU9SsJwwWO+NxTBDwGUzMENslwt1YtUN6rd1zxnoO8v9+apDjk0lxWpONaaQDfBpOUvCH
SKjiCunQeCHaWGv1uV7ah7ps1zMlXMv2goIe7CJYIWiG38iOlTtrjokus5EA5Iq1yoj8DkJ4Or6s
4t4UDJdVwkRAO3geysWHexRPCV9ShjDEmPth3rkJxsitknZcGiQeABnrtq41GMSor55B66WJHZNl
oU3cn+8tZXKCX5VFpDzwL2IK+jgSPbabbZx54Ok2LhX3TUi8wi+/tMmacSZq+k6keY1mIeUTAzuG
HMchnG7KmVLeR0VHEjNFPu20ONJ9c8QCgX4VOa0mI3V327uIv7ZVyIh97mjcgtSRP3Suin2XDdlB
jVRXopi4ItlgDFFae+plyMp3v6N/RNgm34KpBAXR6VVvs353IfTf7Lwsq0nGTY3HLrfsk8mD46Eg
oeIQFymHHlS68jSgtviYUZ99OKS3UO+XlrXhti329hB093SiwUW3AszaRNPvlXX/WqOOewUCZZ/E
zGk0rL1dDUCPzJcB3pazlDNbxnJSe3NJqlPX53QtpBBvqJ38h8ru1IswkTQyk28+XHJcD6jX9Y00
6Z6jrl54AgyN2QOrYqDUtqXEaJYBFokdTpMhroPIDgY6o9hxBn/bkKo8HnskDuZmNvmPg1jan009
861A+N70dIcbONTLsU55JrayZSoHAJKIonB9hKZYOfeuhgvPyqv9TpRNcDEnxiyg1sJLYgJuzoA8
XDyiQA8dD9BDjZ8foHk9vgSgZ2G56OwQrBMgcIXytiqYD/kZbXIw1csnW8dk2UHNlm8Ep9yPsy9/
sH+k3RYukRm1g7hwSr2t6fCitbEWzuu7np1Vy0XODhdGU66/gT3hPFlv1Xk93wW09Aj1gnx325kY
VgDO4GDEZO0INGEysjavgFto4NPZaR9E3fHLNDmlyNezWNZJjd8zseDl2IzW16KXuY7NLpTBKp+u
9PXNkrAymEema1+XIcsTCglin8VxVoa+OgkTD7vX7cPXxIeknpKPAt/IM5mctKApT2VtZuTIUVBh
UQwuKoZD9jUeMIip+DE4LZ0tA0e++nWQt2SkiRZo97dTmn6C2dXXhdut3s46oRiZZmZhQcL0Ssi5
eGylM68Z0AXW14CSTDXsLls1MpyrB37iZIKSOS98IuEhO4QAxy3YAEJ4skBJMP4rBKJDhRAAMBrj
DAZ30+6LXZ/MlXtnFd5qXRCCTGRv7NGmkTzLGVa03xeIdeXGHab2Z5IzcUHvpp9rvFab2OrKk7EO
V5DzcazR0bMZXSc164p8ZSjU6JWWjFeqsJLu24Ujzjb533/Nb74eknPB7LZuUgdho/FbiGUtl32D
n6+sKJbaXpB49HVpIqnZAxwtT3Vjxo/EG9cXst2LqAUockHm0H5vTGZorL+Zqam1Vp7IjrobHTot
tksDh7th9b+aMmze54RipxNteJl8ztlmSvkKUxeLgqhtfpCiAM7b0z7teo/yfGDHdlmv57Zbj+E+
bnp08yUTyTDzqXmLjr/OQ1TfrGHNT+k69aYuWZ8CNGjvZsAl4Syq/6VaFnGpGSd3PgJ0xL/r9VMQ
3UurwzDS4+PE6/Trq7wNQiakSVEXjxWE1v0qS4w8oClPX88GE/D3GfVJeudz5DN3YohKrLZz538B
mMIpDC4tqcHXVhfWE/r3cRtWLLE87AZEGnJUpl5uPkEeJwRe8UOGDIhPuhT1ZQHHfnEtithq/Q1S
ysO3vp86DLKYy6NqMjnN0I296IkyWRbM50RTWk9I+TlsOce+N30g3/DHsaaNOfa/RoLjwNAysFh5
JWQLs62k/Ow5TeSWNqfYr8aHfduQ/qAGmp1qTSoabJspaFNyU2gxNu8gBxlQT8yM7SymVRgonG2v
nSKL4fKOhz0Xz9cxO/t8G0yO0HkTBflKV6/RDlrV2k/0M1OozkbFzNDmGdglizfwq7Dggcje+YLj
LR25jwokaa/CGyU9ns21Zoj4cZ6YlxEwVGWnGkLleZIlQ8T1qLQFXwr24uJuCUilKL3MZeqFfNdu
Ca3bpIxMuCc7ptP1wL7XD03zyW599dtftctED6MkpMCzEevRhLA9lj+gwVBytP1CiCexyptMZukd
wvP3cXT51jC42Ccgr9wqY8F3ANiCbmic2u9UJbmzUTPLXsLAm5C6RbnZLXtlDtkJUclL08RUkHrU
0aj4wTWh3tfCYqT+9Y9fN6auch4xBprPn+7EMxWvqXOql2G+ny3SOKo0x1Q9NdzQGVVl4rscMqPL
le1If3FhhGbLVXoLHdnk6/3cF5/KWRoPpQ0N7NegeJUSOhad6bRWAXpuackQKasDgwQ+MZbuMp+O
KnDe0A1hE183MQMDlZ1yWbcSFaaC8xAPzb89a/+7qvyHVaXtYQ/6U6P0t1Xl6+9++D8vWZdkdfbx
Z+zhH3/zP/tKn9UjTiYAZ7gbbcfmRf/wZQfWv/CuhmztcB/+QTf8Y2FJGqbHPcIak96QZ/CKJPzD
l83CErObx97Po9Ik+jr8Hy0sg79aoeigfDytLrQlbKf2l3vsT61oop2prPMkBWzmqxsqGxcokCX7
G7xzTlQ6GLI2BdExj71pbHSV0DUTThiVwpyORdoZ+Y4pvL/vCKH5Fgb8GQaX4UsWDOUhDY1kY2cq
bG6aGR2t8qqBgLEidU9oZH3Y2/mKrHaNFU8dBm5Jik3hetEYarjBspqPMEjPdVAo5Bc6AWpM34G+
sg9jbq4u3gKe/h5O04vZl5A8HDZ2z8swAsGeCKLPRoNgXsjCD8nUmGj1asIt5rqfEGEa5bhdjLh9
dHWboUNbTMkDEDubBMeexTLvKZ243Tq7ba7LpGsy8GzxupB1xDJA6KdY6hWW26f3VtjDTguX9ZOX
ddEzIvayKDNzRNm+O9aET+jqW5K6hLqtPUPe85990QL0NrPnBtPZJkG8fQ0cvUcxO2yNVjRRglWc
jPLMGb4VzI/u48a0H2JsBOReep1j0isqPnEZGEsEwR/pJMPXnSWRcHq6LSPec0F9NpDv3IQVLZfv
b+LZflUYwo9mll58R1sHU6VsWJZxAPaGeybyxxQEkDs5iBmTxbkMRrfiOWpvgJq1DJu4Go44eoZn
p9c5rLhsMXfGaHVbiGSQ/LueKKcQ9fCFU58yQbxlOYNKxWfZFfHwEtdIBVFtP+tCOxy4on7vVu08
ha2/IfkljQA37RJzcCNysZNH9IR2HY1+U16DvAJnV6cwM0ISivwNra8HD7b37gvbiCMj9ce3uIut
Bw3Wi8bPI2Bwkb8HJmManstCvFqbJffLlPfnOSw32DXRION4upSwYDal6THpqY34geXl96Rv6q0L
UP7ETDVObqZBlOPDHCZN+9EhkH8XU6s+s3w0Hzzi625AbtjfCpZvkeHW6gLaveUxT4DUsJlk1V3x
crxPs6NuDXiDO2sSv526eoeL05DA4NbtCakWBjfGK3caykEfMV8LUCKm6mkxFAlSY1zuvDYuYb9U
SlVHwWw938ceCGyysabpPUUZJtiAYNba9Ubbz5si70xKVgaNrj9AMYVnIh4wrIJnFKm4yDYEAD0T
wfUwSut+cs23pSeqoCMcE9nFjhDVSh5DL5Ph1vHTtjvAWbMOIrG8VxSRT0ksfwuLATsyZXZ8HRb9
o1uOAHPS0pEbntArRdKzGDNwdvAKQJftPr3t24yUgHCC8o6alosZDsNWJf1kXfuwX5JDEIMw3KpO
vlWZIdVjN2ift4STz1DxPXuoZsPeUV71aI9RP3oz6qLwoB07PRXFMrYP1mIFFTMds2JRp3ROkyPy
AoM8YTGbWTTulVFavPPXYTwoCHPXyjWoCYNsZEoveHW6SrvsbW8I2jWOydCnBxxcySb2QDy76+Af
byr5EQ5Z4TBEi+/zuiCo8na6CVjJOPVQIUBYlwnBuldA8us+pE1V7OS6dfCmtccfC2ebky91ztft
RKOUPIzO6m8xq+Q6jbSNW5Uvy1O7rjZcevHrLAbjhZlPqkpoakUSVSxQSvg5DbJcw672a4S6ntmJ
IotuEA7S/rBccdc1S+mK5oqytM1QbhlzB/lu3cm4X/uZwiPwyvO79sEOOxtaPYscz2PokLrQbbZa
LqgbvnY+4br+WXLiU53Zn27Y4TH678Z3jGA5QMh1c+T6Ybe31nXSvIy35ZLoT5imFHyj75PmtS6g
GHfBhWQpRUJ6SwWf4qZKMeVE7IHUKUZQvqUe6y5Ard95sJAlNZSEqH8tvsq4YQk2fC3E0E4MP62v
NRnCnv6CGjPcjyzREt8Ljva6V8vWDVtXQ50ufZb/6dIdcVKJDTSAYFevezkgIWzSuppd3bq1i0NY
A97kzDsQEOLGGxha88QO6LmEdVHkXd+gX8x2s1U+xt4CZK5P/MMk0Srjcsw+VaZVs2GI4DCo5+yd
zLGMQpwOpxYYFQw0FluRmO37jjUJ1nA8CxjC9DVd95WZmINtUQJgAhIbRq6VmUTcsuGcVHszV1W7
EwtmUrch6yIhSmCXo2PAHINOY1n3pd0S/gD0U50St/vV4kPdqWL6UVUkvAtTs29VPG7Mjg0UlP+j
YmgEByy4xQDzOPS1TfYCTodAje4D/Fvk8EZ/m+j8Ua173inN72e+1zP0WYu7sbxN/C8CRsGCeM4S
VnX0yd7eXfqOUV6YsG4Y1bDF8KifGe3pzYT/wHkk0SPxzgssI9bRvUgassAW0nqtbMZgOAhb01A6
tB9i59XBInZpzGDsGzKZ0Pg+9dasyVvxgwWAFlBAMeIegnxcmGXp7Hy8dPpIYf7N9QFJRAthDPam
L0rndixMgm4bZvEb6CQYUgQOkt+6MWdkxGpp76zGMtJI5t3yaks1v1b4X8/+kJs3CtvVodUGQpix
8mdmNboYzyiXJ47+EpXtPKbDkSCaZWdWnJhBYXgfOsfvRj2XnzF/KHuDeqt6DBYFxU+AqgH3uWMp
MKE9CpJfraWMA62fe9/roN1PQQtVtRtyxgQ1x2vRMiMgUKGY96lIkheCWyQ0OKgKnSwASYUIGQAt
Lw6ucsC8bNAUPDyebjDmGkfaN93/Ze+8luNGsq77Kv8LoAMuE8BteUMviqJ4g6AcvHcJPP23UOru
XyxqyNBcz820InrUKLjEyXP2XrvssnDdopvHmmVCnGHvFPf6RjR82xYu4oJ42ThErczZNIexMfJg
NblN3+11okePxN5qe62qJIWfj1lzAXHGuzaEJpENzNHTG4JfADy73lSvQijsqySo9M+NiIHSqliP
b92wru5iLx6ahSdxPdGYENsm8tWmdjG1YvhkS1glin2uzgifeUE9tp/IKPFWQHKMiyx2ZwI2N5/u
S2RvZCO25LF3ZO1ObUfeTz5gNklwZzWF1e8CMBsEGkdNsLaIHCLWW8Zz09mp0mUGmXxvR7b+iX4t
1qBSh/AfdJZLM2W0857HpdWXUd22jyze09riIgHUNr7YToIH2hHYb7ijfkW8rj4STQzPd43MFOJN
3Qlz2YI0pC0sQ5jAFZ1j2hkhTk8RXpZiKIlIy9qLAZ38XoYu/uLccsUtNueOQbTIcdKAI1173LSD
2zUV2lOM8N+U74ZPHjX3R3OUztG3aQHjeuqdi0anNFv5gRF4lxj0rSXmqsc2Y6NOnD2xtoGwNyja
ArTxQt/Xp1Aa0I3ys0XnaKARXda7yHJYB1LTu0xPmTaaHyzZWhrPrKfRIRo0Yw0FWT72p1Sc5JSQ
o1URaTm0WrE/tETojHOYDmFH1lpI/N4FDcg1bRxvixWL1BzV90fa88PVOIfz4HGvF+xn1TKeo3vw
x4TPKFPI8yGZ3d4Yp5Sfks7rujKJ/slgi2D4IQ5IkwQDmT0RQTQ11EU5xwa54Jc/lMOcJcR6HkPt
JmCIgID0Ee0bqUNI8j3o1wHC4jmUiDlvtXF4Xo/6HFmENn5YDjqOPnMi0EgjwRFwHpJGpB4GtT/B
R0L4He6VOQ0pmYORhjkiKU41wpJ0avHSS4f7ok6tjabXa8xDpL7PMUuEW/RXMfSJI4tEDxcw5GVx
epOChZXPSojoDbWqxPcXS9DsONOXST9WBIM3vOu1HR/LiBolzXRi6L02/RrSkaSznIbDOqo6+aNv
i+GbxATkLsvUU5e9aSq82rVd/Jz+/W///87+39SFzSD0P6ceXD43zfPXsMMw1ja/7v///pt/7/+l
R1yvC2DIEahdCKdDwfv3/t+x/oLwagkB8wipMEEG/wqWbfOkSrZd/hry5xOs4+/9P8EHpuV6Hr0B
S576Bn+y/3+1++cIOpW+wEGBA/VcWOtZo0QUpfHditIfIaO+reYW/hw/8x4893dHMnVSFmhcAAuz
zkBBLGW5PY+rdq7JlynTy6cyL9SCfJHuHU30747EMTAvE0UK/2j+9792NFrNn/g2lrt2SDqsEPp1
05OYJqvp4ZcbfvN6Mv6bAyEkMG3IenRrONbLA/VOyuiynkAA0M9L0uQH8ec/Yv753xwGdLPhcMdf
3aMW6W0DuL9kJg2n33MRF8+0NUjwMCD//FB0o1Dpe/DHjFfNoFLP7CLkjHr8/hdq/tz7hckMKI/f
OSl5NgR3gcVJ9IPA8Og52e7ZtXN6cBoki5W7cMAjJbvxbgzUg6GNDyWbyHdm7udyi9PBLLpwYG8Q
MJyj97BYFrybBftZPsorh1byLsaVtyi06Fmf8xYiG0Qee+H2v7mesGkh/jk2TcCzh17WBdNw1Es7
pAfFhw7UIN5uLXnQYv709q2bL9ivgojTOSKJmPt5us5b/fJhnOiljRGqkp3WVfUOIsK4JqDR//D2
UX73yOOU+Pcos7bhl3drdliQRJ1yFE8JbEnqoc8AthKm+F9dul+OdHbpBpBzBYJ4HpC0G1dSxc8T
6BRws+++XidU4MtLRxPWpesAIcs2zXPQXeFnws2KMtuVhMyuSn3ODxhLevuTnY1rD9n9yvBqY1Ph
PNnpNVDeOKVFYlV2fsAXgUF9YP64dhVs3hoh7teTjMyJfYs8MB3euZP8gIBi7YPJ6C9LB5wFhIVG
LkgHrxA88X8hpStbM+Y3kcdDrXdUld2OtWd+ShwSTYQf+099xoBiyIj/8B1SRIoRdxfdLBdmiJIk
OxDHmy0Q3aBgqpgttW2YswNMc0p/J//QarF9ADA/fK18Vnmjlfx2aXCU2C6OYDT6eBk6blhQjqSE
mCahhsGT36OR1vyc+Zx0AlJhU3hBeY2Qt1i1ArcIugafXGUDCqJCxtZiL/eZjFU6ati4QlGngZ1a
ZjpndyIAg09pl5gTTAwULC4h3fW1lHwCACXB1MVGyT4LsvTBzhgjsR8rjnATAB9mjDtI49HAgOrm
pyDsiaYPjPgpcIv0QQ4oSqrGKj9XMjM/+Zx7uXAGtBEl29+J30QDbRE6pdcSqjXyritpM8/WmOU+
NAMwKoZu2S3WvfbJ59Icw7gqr2UX/9AN7mkXS/MT6NAfqhn8D5T4xX6Yl8awaYrjSBgJWg3GTfix
PSK9buJIqrsYSNKeFZ0Qih7BfB+AtqcMoAWdml2Ozw0M2sLu2PcHQC0w+pK/QyCecQVNhovYpSJH
mTyg1js99mkTwLPRffcClk2+Tsgy++R3bGEmG296VpXBvUuKPR0pJ0qevAmTXlaBDfdFGCPxb2n8
LYupluk2QiVcXhroSryVDP3+MfRLzVsjWG5ccBoQhBYSxcCFhq3zk6vl4h51Z/aDJMDiwDmO65ye
xGyxrnY2RuKHgmyzewsOR7wUNTAV9vwCMrIXhn2x6RSiolqVhBGhzURh4qsEDg3Ms2KhBYkGXEB6
Dw1g51VpY4MFWsEnbho9l2ln2XcLkQ5l+NDmWtBvOzePn72BLhx+vf6SFDQ8PZEHRaTpfcXczOsf
p3pKtqLs2nQD9tSMaItZYiKH20VSTN9j6BY4u40vk1c23+gUkmCq0atbpYNoPvaAND8HMTZSZ0xZ
QxHCCPZ1mnXAjAZuGjqFtjQS7oQIg+SpCsz8QIRsjoCKbgSNvh8MID18O8C2+CGYz4NsXGljwzwy
xL5wFSQeIvEg9baxxh3qLD59QAYQz7hM4AVQsg9xz25wFZYq/J6Xntjl9OcWQJ6wy9tG91g2Y7+1
sgLnpdfxIExATE55RQ02pEWlsXttjHTr1cH3tqudVdioD7CKsBf0gMtGGhC5RCbigzrgU+jchh3V
BGJzRY8o7S/7tvbWQcJ7brswwc3SST65uH+PZG5s4L4Q1zipkl3ZkDS0NiNaoFabzqHhtVI3YYqp
JO9i79qiqESmy1ufdAT99vDY0InF43qqWd1AOvTbU85RaXPeZhY/R43mXrtDLJ5T1bi3Vt8aV0Uw
oCYg3/egOp6ohAX1qfOwTuhzLlSfc/qimXiNMpgF1y2M9K+NVuPVDxrWnNBO3FtDkqZh6+mzECyU
dc36IUPNuZ0iXKdmXY8r3wGXtRBW5976RVKj/ulYyU6VFtyTCvYNUTjxGLOImV2xkgOHrhHm7KLG
bZH5G8PXUORzEHm+CLxG5wnG6FRH6bVFRtYmHCw6qYihr5tqrqsLszimBsFQKybP9Fwyw14mDlcn
8j20BBKhxWnVxaT2uU1c47s+sFr18zMiSMy6YowSXcVCBZsepi5rHJXEQtNacRUHYtMgtFz2RU2k
rDWxIraFWvaTLD5Giis0OX4OwcVhXKM1w7LjDhPMqdc1TW6Z3/ekFOG0zXMglF1223SsPVrA6jF4
vPRJD362J3VwY0GNQgnUR1eWb+pfPKNrj0gtqEeL7tpNmnTXSL3fxiH5KZkXaJdtHV1boEcftThu
rkcVtpd+PH2KdGvAvoINzR2LaGtPhthNoBiRkxHsWGq1f5Mmn52qzlYIsH8UAZ0JUCMfeZ8f6l4H
a+IWAAyCDJaNbpXX9ogHgs8i/ERpf9FEAZPM4aNHNxI5TRSCyctZeeucFUfPXAxLuoFrn5gK1BCn
RVbaTbmZuAcb9l7gY6TCe+Pa+ZL4aNXtMlPY9Rax28JkYkWCQ+PRpBvTlMUsZpNX8YjEXjazpJM9
OFmdqRxmOoACdVYDSasmcqJLK8oQQuPex54xVIwKMvNjk5nZYagsYKWkr5Toy7ArEPHZrTojG80U
GYwqHHkcBxMaAR+ftGb9y5zBv6tQsw0IBONQ29pRn4UHciwtIhnxUffuAVsN+Uy+7GjzLKnFa6aG
k1c7Pxjghe6CQUT2vRQYbYwocPbKdUrMhqMH8p8gUR3BkWJdH10noW/X0ha7yaVD2iXjKo9oaDeI
aXqEtY1yujN6VN+EXrmJntDtUOmHIbYUfkJDIjShuMbsUM4xWvmcQAei4YvtduDEGCRq8/TQFlq4
MefsLRaO/hbivnYJ+k7DjOZkim+1OW55T01rUcSoxTuSPHdm1bVo4vxnZsrJ2hnMZG3qqEkJlTQe
IYKoKzI5gbGhcNJXuU2ndQkhbbridQ2+BozaukUy0/hTB4IEbR1tH9EqczdOkLG+2ZLl22YKB9jJ
sYfFYHupWJWc8C5BEckcZxTvEVBPMvQXxSiwdRzJuu4JJNeGfVZhN9MU2F2jpzuUKaw35tATzdOB
4nBr6oSW0vJqtDTgP+ZEXZF4NcP12hTH1spwpxjeexs1/Nkv9xXz76FDQONLzJvd841aYBJuyxK6
qzPjodPRECWsqYMDrj7t7vyRz9zbW4xXO0MP4QNbQ3C+M7H2XB6N00RkAVIiQDMUYblPcomR8zkm
3aU4avZY7N8+nvFqTzMf0BEIBYGQWZZ7tnPKawoc4shSFhRoEwtWiWIVNTBEV5i5n0H4eusE7uO1
FO5wc/rsAI015DY0ycPD76ct/SQV5AhW/VY1fNff/n3W734fKGdcWLPv/dWmvFRRobkA93Yhw5xD
1zfZj8IisH4xtAQHZjOcT61TiBtM4WKjvZpzuxcGQXPXpUGhjY3ymVImP7gm7obRZOfZRCX24HTs
xNE2MRHndVyj6COdjxBp9IItivhdQDTg1lJsXNe2k/kfLFu3ny0Je39BrmC/dTXDucU7yQfYH1X6
oEdR/HT6Kua57rnLYUrIn3j7WhhnaPQ5nxMZDXlZAAAEprJXsn/cqXy9kl07N/WF1hQL0FCAVy37
sYKus0Nbj1ENF81GgA9ZBnX7XmrSq/eBcDLXxPA6k+6hCrzcAbcjyOQyQtrqsd/eCi0ojtAj31sG
XnUsPIv5BmdqObaJNGd+SX7ZZ3dR1/syL6KdZBpAJ5+FKy+ZuFS4WOjsJwVckpjNAwrY/vHta2y+
vsaUKNbc/0F2R+DV2bGhadt9nQ7hjhDiwEfCi0dK833vKesojUFdifHa04T3wHTiIfHGCtyXQFUz
9oLZQUEI07zekrlYgeCysLSUlJPkdu+ovxGDYxn7RkwgzCbNb9i4nn79//rV7/WrbdPiRv7nfvV1
GBUv2tQ//8LfbWpX/4tcDpZ6k5XwFKr7b5vatUkWQRzGA/FPw/kfrga9aI8sj1nc5kj+MSfP/SNT
c/+i6aWjLLN4XVGYuX/Spn61RvMhMHjphGPMzq1X7UJ/YAMIO1HsezWb9cx4Su7YboCtmVE01gjX
CYfmtClrPC7GgKjVTdnMUZCrjyJHfmvLGP2qhYMhUBTov1zJ3zSCz99Wfp2JkBzXJRI/SZjay7fV
69zaNwbP3se9jasBGN1NpYf5RS6w0ZNYlmIPoK20bMDB2e8siRQF5yvSHA9pQDaRzATkSWH461rh
4xgsZRdVez/wH7MKLWs3dJF3OdcGcsXAyrlA68jQkGa/c8RcEH00UL0/qSmfvjmnQSMiD+tAIn2z
Tmg9bNvTSBKmpbx1ToNKNc8s/Xl6aZQWb7Ne2uD8+TLHbPCNpc036TpEQ1YuHaM3ljQHKkb+huOs
iIHNGNF2jLvYKkq16GmmfEbYTwericPF1LjFEQPutK4L6okwb3K0bfMoVmvnsWxQeV649OZpLbNf
/ZNW19oaQ9p9pyZm+vZUsR46ssyv0BoEay2ch7/1PAeG6ecvE22yFvFpTDw5Q8/GBf3/sgzzkGKd
gXJ+mi1r85hZDLG/kvPo2R18ptD4HZF/YJBiOs0NkDsX0/xmCElqVR6prBSkTLSpZKo7r9PiW72J
ImOFFEz/nBJTs4IzrNdw/JS3HjAeRZveAiGwiHiV7pjpBuwyT1N1OjjtvdEVIZ0VZ+j2nusxuczN
vL2jwY8ax7AGOoY4kPRNZiTY13K/TZBLYPWEp2cHk4U9u2ZgEwSRybYlRKFD5wxBQBlr9k4wG6TC
tSWwJiEeHYJo1qGQ+U1C5bNpgsqsF50IYXOfRAc4DglmjuMaSSeaBNpb2hZFFTqF0CRyU4825OH2
K95Ubw/jJLubsKlZuB1QO9BmiVc4i5znkFbKbppVEV5aoo+IatjbrdkCI3Ri5tiQaG2Y3v2srnBn
nYWvueqAftR/AOXZ7dwhHErKchF+twe9vzZOWo0od7LvpmMnBdUvdUwlQJAuPCNA2TSe5B4ImZB+
8O59CAMtBkCbRJ0ADgwyefiA6AP726Jy6FYtQcRUwTJWPrput2yTb3kM+x5HTx3PIInhW8KWF3x0
EmY94aN52euXTQWN67mPEN7svBwvxXXTwCiZusnap7oV948SMYx3MQrMTZNmtYyfvE7VvBW0Zr5S
y84mJ6wRSKxazN9rejRA+E5cGqCH+QitBhkLNh5tij6MVjGOO/aNZrfU/BwXTEHuTLDC2xigFUdI
mS4SGnT5nLaDtyQYEnw0FR6IMGrzizoconJV6Vbx3BQODrB6RGCroYDbj3Rv7hg9zothyPknU5Rf
Q6Ul0bwrsIPT8+Vo9XxuNKbFh9qf8MdUosGrHCJU+9RGEk19HfX8ehXgGThZFaJiwBqBmfLz0COL
xaDXl/0qHHiR13i0lLbodNV90eO60y9johL1K88frG5ZmmXxXDfgR1alBkDktJQjyOc6od8117iW
WUcTre2vVGROD2kDq4yR+WBNSYOYjNYi1GQ2FOOzgEyplwdSpXT+Ae0eOcUiHY0ABkxhTEP/mCPa
ixqaJiJ/7sY249Gpp4ZN1CSvqsbgF6NXLTRkV20EN4YG9rZyzfR6JH9ALWQRYSlrjFjdomUyr+0C
PS7dGze9rkVaZcs8kIWgpYFqnz17ay70vg2zCwz2DhU7v4BnFxDBPjdwFALIBqK5mCxkBqu8qZ0n
rc8HNJVAMr0lGtxZF+dK7EM079wa44QzfC4MrQBpPnoZKGjETD5ZF/vAxIiXDE3xpTHajxbWDIBm
Xizo9HvDLTEtVrrSSL2lbocmYi9mFw6Y2sLzEfzG/sZAVHgZWjPEXNNGYENwNYgU7JRcOGEnvqJk
Jl66t4wQf1DCaAkl3pLAPnVhp3FxBKQXIpCbajJPKhfvVeWWgolIbRzpXYHSI5zVWfAAafekG7EK
TJY3UxUq6AlGlTnmUqKadYlkBCUM9mF2rCDrGVn9ehnXK9ZxmLSzoEXN0pZmFrn8r3DM26gd3ysc
UTtS4f/nwvEy+hpGwXP+onj8+Zf+KR7Nv6CCsVmHueY51CHUP39rHDz9LxvIlCdspq5IKnAr/Fs8
un8ZbOdmBwPJIigQ+BX/X+NANaUDNmNCwm7LEX9UPJ61MBhWGhbOC4cxs27b+nk+GRRHSDFpYxxz
dE8t7HLSCdSuFkyYcO3mEmRXOGbFRZwY2kCvNLf3uKRDSLKNV4pnh2XONECYxHNfTcQIP2tYUCkq
ncCcoypgKPBM8ikDQPbLlf5NYTlvtX5pBoHk5ge7XFp9Ln6pLV8Wlm6DTNOvp/qIe1jdGWGuLSlT
+MD0jo6DaWSk8vYB6ei8OqSto1axBYKQORHrrN+jRalVojkPjoyzLwBzavEy7WlKEE8PiwR6VqVV
O4M19rM3ENSLeNvuHcJWJTvWjQhCo9iTicRyPfUOVyWXPgM4k8rvxs0j4EUFyXo34WwMTE2jnba2
nxfHuDH8GqZPTnOBEqeWi6omyGUpVAdaJBgQWx812as7kgUYGBiTeG7zEmdKXM1fBo85VoBk3Z+7
1cKHsjpIjXGW5I7QlW2brtv4DbbVUYI+q5H4V3QM6NnUFj200da8ej21pXFVuwzAlk4QjcEal/AQ
rJkGqhs9tFPISGFg3huGxoQscpp5FaqhXWjhqG4COfAzlBm5Cs2gWX42+yGZcBeaVXitwoxfxDfa
2tMtC9XHGpbexL5Ag5dgIpNsjmaBlOVqSmD5o8UeZflo4joMD23d8PwF4HX5JuMmuZvq3LzXLMSQ
n0rMC9qTZbZcuaghNI5ls1DFvi5dWpN9nfCXfAk6gKZzz78tO5Id1mZMIutSTRVudY0yL5xd3oyi
izqfoSbAftDtJ7l4Jj3Ff+hGmuV9B0+exG/Kp1UVyduQLQJg8qbiIhEawl2QNhqpxxCcWrmzJ6C2
a64j33UR8Z0G3ZUyAFMCrMKHcSq4rb0pTOMYkAgTHqb5ljjzxfHIpOX+lVZx9CqNoVyUtpqznPp+
uAwJS7nVXB2NOZNVUP6gRFz84ZEBjxZ8N3ZROFh0pqUzOKuiN9M1ELBglYoKlbo5qPEevEZ7RduC
pn4W+1ivUctC8YpbcTmOgXzQese4GvoyvbGsJHg2B4yoKA5sdxmZufOcB0n/qcRKoHC288iGA2iO
fuhbdxnGczM4S30Y/KaSAvAAwOsHTVZNe2sSLiVXond4bPra4fIOUSbra73FN7BpRKDh4cg6VL4T
XAo3nMi854kkDyBT3LsIrebwY4zHrpxlm1n8g7AodRdlOrMxmZLSXgQ8Iw2ayG7JyMW4B2jI7UkT
rSKX3B+4t9ADUubvDln2XBleLsi5vJQJwdL+ptFJ43ikalN3tIF5EbTJ4QJHZmnKbYJh8ijAdpW4
hxoGRX3MsDv2TXVjW6LaIe4f1YWVd1x6p+g4CtPVeFoYvG3eWqmY6+J4M02mEzSq4cqa9X0yTZr2
oFEtVBfIkrX6ZlQAkTbk77L8Thnzh49s9bLkzu9jKBmUThVTdMvaT6CF+8U0ZlxLhhFcS6VT5DJc
nuPqES/VOz91AUTarCrhoaxgWi5PD3JCorzaFACd6pXs55eirXHILtQAG4LFvDDvo04D94dsKZSP
KnU78zr2KdVxnRtJ8dWxBoOiy6Xr6M6AadJ0gljtHD+o46faqCFPLEQHnczy3Tb5VLNCGCE8t0nU
10WW59KlKab53tpJA61eE9bMf0nncTo0FZku+FVr4yoG0K8+ueiLk+/CyU2T4eVYBf4609nEXWd8
fyZ0sh3wiL2fY3NBP1tgFdyHpsVwSRizMESLAh1+4MQONgrcq5zQvkfRdz7zf+OD0wdqWKI37T5C
gNTW4FpCQLdls7Q6PIBY93zgjoS2L7KoJ47dMkaxCp1M7BgZygFOZFxpEfoLZhQbm8lRTlldjuTv
pMhoS9wVDw0ZEksr0580ZoSLlmihRYJCeBGFg3J3RmIGX9LGd76rwPLhu9X5dZvKi26oq3GdpLW6
lYUTPAmrz9cZHyn20Y11h1orfzLsMNuYuc6c0pmQhOtgo288MqWXTolMnj1hkl5GZZB+NOPGwabT
tJtJa5kd9UotyUqAeZ8N5XWfTtmFYDS27kAW3LKsl0/YWsIPvZ3eDI6u4m1dNfamGisFRb7Itz3M
/A9BI9OPQ2Y3AVvjHNoUHzDCKqoJYr+XbICXEupVDcT+pQ5jv6i3ins+OuVjLrIyXMUTrQ030otP
oQRbb/DpYUAoRZcvpQNEvJTKAiffZ6uA9sOPqIaJnQL22ZlTHGwG0BxXImgcexUSEzEu1Eg5sJph
6kzys2LrphXWGYRJxd4JlbkJhHEb+0W51VXYrWrO8RFnPmNLYIhyn9O479cjls+rqrX9D14Zyq3W
TMlGAMVfarE2uZtxlPJKC9vqyII97vQ8H/cIwr39BIOcBKe6XrZwVJYVLivAC42876N++qbraXyk
izEd67z20ne0fK+KOei/DCtpL9B1sxjavCyJqiKz3Hju/KkW+XqSz3qAweIjxE4N6jfG+CMpSPXu
7broTF1HIeYg4CX0YubfOgQivTyq7U+hEw7CO7BhKT+DumRhKFuTGuPt45zNek7HkRiGKZdNOMX6
WfVFsKLsGg+9us0WnTVVr1mzZ5yJUD4Lxp8fbNYKcjlpq6L6fHlSBu+wFlAE0itFdVPM2ImTsFTD
svtOh/R1IctwzeW6udiaqefPCtmK5KiS1oM8WCQaXOUzzkAMUGMQURTHxmFk+/ap/eZ4BvsQGs8Q
omEAn830DLfgtU0zcZhU6D/8/ASRiscXQ+SzHKeJRi7v28c86wJz7zi5OU4Smzc377xYxxttY4Ju
7QOwEKorB4RHRFnCkAOmzow1txFGW0st6/mzjhhC/fFDioJMcJ11nAWm0M9OusjtSseQKA9Yverd
MEBEUMZQHN8+zdevAkdxDFBgklEcO5OXT03qm0PuEzd8CGBu0NmDcuG443tTz98dhQ2lK8Qs2H01
6JMtrjmhcS4nya7EvoGLBVfi2+fym8dEeEjS8dlw8/D0vTyXBAsmHIlCHEzse1tiJXgo+hGC9Rot
sHHVlqqf3tnSvV6/WNNZTTgt2+JPZ5ePcCB/HFJpH7TCl48GzBJ0fT2lSJcyaM5BxZgL2Uw8Im+f
6uuVxSUDFgoBZ+uZr94ID50IMV7CBNvM2+3T4jq2WD9XUwyc5+1D/eYUeTjQxFODI3s+XywdWkcc
KjMBi8woi8wojlPDNCa1Z+XEvINT81Pz9kF/d37EczMI0QWz4XN/QQ/uyAo9aRxSif45z5Dbprob
btnovPumn8avL/flHt0JOoq24znu6zdt1uvprCfI/Br8dLGRCVIRHD29I6WvviogQaO6GSmT1UBd
h2hsbK76CvTnhum1zeaiQOkGnOqbAQGEqnPKEY66iSzTdy7L6yccSoTlzEJ7BnSMzl4+4Xkkhgje
JU94hvZhGfnQa+ZojIZBDGNgYvMo69++E8brdxd3Cm/VPMPGIHE+QA5S+iU+37iD5mrUusq12D+0
wEC/ubXBJ5Pwkfl5jyPjqurS6jMEl8lYWZGn7qrGrNJtFWDKJHYNGFILmCz847ceVQmWGwwOFvfu
NAD/ZbiuEwM3ER4hDtnkUnTrIn4yAlSeTWrlEUgY/b02zqtnU6IZ4G2glcMjClX45U2oiFqj6B+n
AzkU9nMD/I0eZ5XzmKpZiPH25f/dwegb4U6TcEJePZvIgD2dqdl4UAGazDgHGw3Ejl2O0Et2SW8f
7NWt5sxcAtsN3Zq/eKfQ4V8uZZZoRtn4+niQvmBjGUQzLoQXkV3i2wcyZ93Ti1eOyebMRMGADiuF
vtjLa5haYaRk6QxUEHXY3Ojs4RiLuE2bfPQJ82qOJZSEmnEY/KsQk71iR+JYeN3T+TNYVOoujBL6
BNrAZgmhGky2yUH7qGuSVhZdL2ujp3P3Y6jI+dkOyJ5u2hxGb/anC7GcJ+0Ieviu4Ro6L4WiHIy4
Q7TUwZzQPg6ojY5A4KJtoI9/XHVxKJ4BGw0JLb1XyibooWbbK8hYNT40aFMx54/331trpCUdyQJ8
t384f71+uUuIRVgPUSLwv2SYvbpL+ZRZRlUL+yArZX+X0uwPte17D6eGiHQaujrVlJJ4ppT5zkpn
nj8i9uzuYfxuceRZLTWrEX4dhNsp4lg02iSwAkvPJvjGrmQ+NIJXtcwlogD3CxzMxGbAg1DxCpwH
b6AF4WdntiMqYEYP453eZXQRp2Tu11S1M28sOkQFixNgqs5kEwNKNqIbpx014CTFEIkdnJsEiWPi
WsWtiBv0qfPjlWp8DLZjWxvloSddDve1bNSNGBStscZHeHhMaBwx2q36wFm5AfLFS6FrSb3SjSS7
Heg2XNWy1bbKjuRNMRratC0cJud0sUGY6w4Uhwva0nq+bBzReaTg1RABEqLBsEmUE+zOsQIvAXTu
ABJyntOnooPmaIQVvv2uigSsCkid0OytKZ7teCncmglippEa3wZS42iKazHvi6fKuRkKRzq86UfF
nx2Szoq9LGhRIjdnQL+TfcKuKK8m/u1UMXE8FZ+EYNF58dK5rqlK3rUwTwWZGnkDOzwh1oyN+1gr
L9kHrqbuSjVl4Q0K97S4wEjet7cNwvFshRSdt7swsjK5Kyak0IxBW6PaICVUd4mORy2QskjuELA2
3xT6yYkObyym75bMO/uyrnDnLx1QR9CX9Yi/yKmLZwHhd/pQ4ohD42fG9kU/M7HpaIDG2EQETqmN
LMF3ruiD0Llqp5BGuJuNJLBifOG/2GGhwE0wWPm+UnGnfVBFxKGrZOKr5elITqtFmFqNeZ2D9Wjv
jEgjvDHhcQlv2K8CeDRGB1I11hN73/c17ugVxDdtOTFxBnBnsoSLKeAJyglxwzHkDJFzYRPjOuxD
mIhELisDKTYeZHpabtk101al7GFBKnh0GVGOqvreyEWdgqkUPGB5iC+PgLCab8OpDqBnz9MH75FW
QwhRJjwY0oEA69MIcSu6bYX64bWTf+NOpJf8bMGJtOPHWKEy7m0QP8+RH4b+uukaDH0/Xys52z0A
qFj7wSE65TknYa2mOT8a94YyQuRzfBWrpdkiyl3WUvAUVa6cjRKp4Lqazdwzt+Km+4Krbeg3ClPN
zc/RDJqjZ19YcyER2NR2buHgUDLiuRNb055flIxPd8rQ6cCfPn+O7GgyhvSunAvhMI9YIGNQ8Qbk
s94c0ajzmmalxqQhxYs97JmSktIce2YQ3TZ5xQ8xIMjUmzI1m7t8Mir11CnH0mDIOyJJ7tzCU92l
UKlxL+M4t6HX+NH43dWYZKwxGpr27WiUdIHDkdrY4v0bnIzvMWMAsglBXMzPis00B0uR3VrOJwrz
pEXeWLfQsOEC9SVAft9H8LtkCRdERNYN3foxpSkJNjGfXFoSOCXAS+iKVhsd8nZmJkxdHw8/v/j/
E9i9NyedP2q/1CyvgHBX34f/t3vOyoZgku8vhqU//+bfw1IHtBujfYMSRprUbv+Ywc2/ULchJ0X8
zUb0lGv1DwxO/EUxx4Z7VmH/7RP/Z1AKQm526qJbZkfumn+WXnVWzOH6pRECUJsxKb9CP2dq25pU
QeWi5mD+Ey6tSfJJlMHDLxflNyPNs/L050EoStjUc56vNocYkbSSbQNgy4S1UTnNRH+5d5ZlYrfr
tw91Hls1n4/NZWGjpjv6qy1hgWuxigNr2pGMSv85nYP0TJrOOIEz+LdRu8uMmq/rJGzwc2PxzuFf
XU6UiuzvPbSTBub+80LPTCf4v8jDdtAu7s3M+eRGzertMzzb3WFa5RDCMx22o4iS5dnGAi3c2Om+
Ue2EMdwzT3pAyFYsO/piC0DI398+GDu3s+qOw7F5oVdCSUkzTz/zJmBbsSXg5GbHnBDKZZIZeFU8
jdR04WeHtLc/2idPC4Pi2d9iFXFG/Q0YZpGdPDBN4UeEKQdE/YY48va03/HLILfxqiXREPhompOn
xqwMGtUZTpuaVXhvxpn1xYyHbdA37Y/cnke+daubDyPz+aU2el2GQASEUVh1HikiibXCqKAexnjm
SMlggEJoOjXjzcrL7qVIg09QnQvQOTVQvYCYCdHClZWCVbYH/0WeRxtcdaS0QBxkIDLbcdg9QTDs
u2naJ4Qcd7HWb6ws+2E76V0R2V/l5N62dZEtB9vNDqWungK8jBwCwIcm/o+9M9uRG0mz9KvUCzDB
fQEGc+F0p++xLwrdECEpxJ00I43r089HSVmdmdNdXQX0TQOVd4IyQhHuTrN/Oec7fE+CNJZtIRa5
L5CtgaUytk6Xjx9tGsijB0lfgGLYZgAFdrYJNmUky/VmmqwiDDTiGc3EevGIkDrliLvIk/YEC4aB
6kYLMGgS7z4beX6zBDJ5Ui5R5L1fhHowJCx3EkqeMR5ALJfxLmcdcK07kMkpQ0gC0QB5JeCMdmNL
phUasjkJjsrP+ynKWGI+SY8ZUUp8WmhCN7sIVsY6OgojNuDEt637bNee9poWQ3sLiZjv41PZPzVG
MZzLNusPCD9YRLUthSYDvfQcV7K9NmDNIIATH1WN0AmZwuV3soHHlY+1sQORYkaI7PQXuyFzAxnY
FGppZvZvfaZLIwn12biwpUyeslRiF8sw+MQusMpUurh2xmzdUGAfu8D4ae/FUrd3Vdtd4mC23uTi
qye7t4qDJPbzakyWe6hAx5BH5WZRr+ppX1fWWwrDGPRS1idR7lkTSvgsuNfxMe3xF7TXJdGau9XY
aHb9fE2mRsgwIIYmAmco3xrXSTCmugJX1eRk+zaw+zN5JLAUltS9YzMYxTEBEJtYecaqXvwM7T09
8mWv05DgfI7llnL7nqiT5xyAM+urHHNXBcyfCFcCZdOB6U2fjPesd429aWX6waC3h0Kl7KMjOnme
G30tvxKnuQVm55t8oplMsA5O9Ht0j/M7+cf6uiOuL0OSa2eVuCZejyAF8o4ubptXFENFLD30g5J/
jaTThudF0yyilxlixSJlvqD5xCUXqiZiDkt5EsfjecLOFbIJHkM30FKMuTpBIkWlbaBoJBA6+ykk
piTYWG45nhYzNS5TYPlRvNqAm6bJw6oAWw4V7t2KrdfAWOBBKqU/ZNOsH8zB+uzxvmrg+B6LRkfF
5vFKW9lyUnbTh0MMWmixNbWNQURvpc8G1l3yq9ZJcZ+DT9xS7X9jKYrQjF0AsuQ4GY6xBiqN8J77
ae4jNTXJAdIgW81ArIHdfFskw/KZwtKrOJ5GbSuwK0e92VjvJMMiY06Fu+umCA+29eQ48BJro2hJ
S/aG7q7XhPXOue0fs2q09qiJyxBiGOkvab+OZGyx3MRlgUzQisUMn80vLxxIy9FgJb4RpvPWNqiM
ochqm9GPm5DNFxQhPb0god6nXACbakBhiPaXRrKsjPqmq/xjOZjPRZXqGzM26jDxW9K/fW3L4j3e
xoXmX5O4+IinAP+47HZeb9rvvU7uQN5bw62wuyrAec2zx5Hg3mZzPl2YrJZHzPXtwfKzYtuMy/ip
YXu+oRpa1xkB9KiwdHmANlo95d8DCtVXg1naE7QCG9RS7m7ZLhuhUVY53EfiZvfgjIivpq/hOXGn
b6Rqa7eFhNLYEaxWoJd8cfDWHuYga8pQttAvDZusLuaWzq70mRP2i0cSskWQK0nyy3Bbdb52MKhs
Qim9r3gJErUZcAxvZezkRz/3vaeym4w9zUi1a02CvbxhpvsviHwz3CA99DD3YdX2zsFRjnPrZgau
Ky1JPvvODnvdvC/ndIU4IeJB709XSgZAxItUPlnIBEJHN2AyaqowH23p7ly6+1eyI22yanF/u4RV
vULaIzk8G7NNLtr2pjeEiqBA8ckjFelgswCHls2HjMvzOzRZ8qJlS7xGEndH7scRUqjFmfHTDqp+
mkPN1Sj646r/d5H/3xX5Bq3xH6qi/6/Iv2Z1/dE16v1PBf7Pr/pdDUkMrU89jjbhB9rmDwm1gfeD
3URl/UPw+EMo+XuRH/xGfiuuK5vFL/sZj8na70W+Ra5tQNoyqxsSePjO/5IakrzWP5dxemCw6TJh
S6/7IN38YbL7w9CWAingpqi5x3WtoWbisaL0AMgaHzJlTGDJbAuQ+GwNoo2AixpEDgplfUxTiS+i
QiyOmGzuriDV7YCrk8rmdVpK234xAkao27EzviS+mTxX+EZCiI/O62Db6krInoLAS4IctUXuEMiK
F/+ajPxlOFBYir2Wp8VhtSGcvRz2PbCT+7JV1hdtJHHtjORsIhPRNdVlyInke7YKCKGXbpELKS88
Nj0u4srqv+U/FJpmNyGAIyOaJKVomQnSQi0+by34tqBOrP4N3MCIoKwnu/VaWBmpBRK+nYgK3ttH
MhorLDMmSIydKGM8MymAtgSR2xK2ABTdo+06JGoQE/To2r157KDE7c0p/1YyfN9lXrZmz0ok5APa
nX1uZk8zQPw7N0emeOB/sa488XFF1CZYf1Vbqt2AzrB2ytDep8KeNr6eVyMJKh7TIDinO8l+Dz8/
jPstagTp7Ljqugc4d851CBCdGar3jGMfBJLV3hLEL0vle4/Cc+KnVoGaPALpsbRt3gmnJLDBZvzC
bZp/GiDO7zQq5LDAgcprIMAx9lN9coOmPCvhoXbtK04sxpcxAtCZmlH1KvFDLRHpzsvc5UHWiZ3p
+zhBglVQBiKvYiVsqvEw5+NSb9kQD4j5Y5lH/hzHB7upzE9igTGOA0hbnoLSK+2NSkYvO9ia7peQ
1/2+fk7o8Tx91zNIm7QdKFi6jz0CqFnvjgRL4P6o8tIBV5h0YPF550pj4zhlsKs6OzSlsG8WbPa7
SY/hzIANOSJQefDT2CWXniq5KJoxDzOHTD27QbyfugFczZ4Mq02JfyPbdI5J9OQSD+TT+WCNNe+p
mMjec8xj0rdXZwZ9u4yYWrIGLf8iQ+Kw9mSTxCevqKOa8fOzpqX3Ewa6Tcs/EyXLpLiy5zdDH5cI
nRDF1DA/IpnpjpKsph3ZbflFVpp+FI5dRCqW5inQGOoUzKxhO0N9qOwpO9nsi6PRb7KzVs7LUZc8
mqZbms/BbH6ulU+mpZF4mzxVWmirfIjwIyl1Ih47PzJ6/dIyMjy1mZ2cJfIjSoNK35Gut0cjF3a2
6CMbkmWBinCbVRo1hNQCDS9/Di8zTT+cRX6C2ENMJBIj0Go6iR92S8ggNDviq/o5Wc1vJKkTV7wn
s+ZRZRrXfJPhqDEdPAdtbtzx0+fn3Jm1FnWhEkdU3P0HGRIzrimLF4eH7SDxYwDIgEmfLMQ/SwlZ
wXmUVvlQ+NllMWKGz71Oau/ylLlq3+hdcPJWzGRAKMVSmVtfp4TMefUTjF8+LWon5d6fp2tuagA8
HRqdVpRqN8QLdW5sv0BOZQkInHprVOVHaRMCY9ajC/Mp7R8zrb4CaDXCQBGKQTwYh2DmX20BkCWv
JuRifmBsTHz09zqRqrtqamsUkMPIZ0uAVuX9cPcMNzs6mgCbU1t+XbwZLbCpByeX4/LUt0woptjK
b9JA5QQ+WOmWp8K4T1J5P+TdTvP5pZamvpl8O38v19Os6GP6QT/vtLMQpv2QmdI9NULhdMPpF4lJ
BIA00k+61jGzNKfvqaqMQ+J17CEyWW5cQmDB8MfBCU+ztes41u+VNZKTs7jBscg9aMftPVpXPeKY
8M9Nro1e2BWueuVc6bfm4MXDRlgqv8G8NYRSFWqv80ZFeiN7ZGtO+mBNU3BtJx0JMwW6nVdvhDOZ
Ibo7kCBVVBPvvJly4W2WunvooP/yCqUEt+l5RMijxY/X2O+pnREIlnI7yJggASPYZ7l6ArsPGbRa
4sexGK9Ck204GSp/Rrv+7BBztim14b1bgk9uwjChd1w+x70gbbkk69Qco25s6b7yfWDmAHFzad+Y
WMr2o99+rZ3Z2Tn4gw66Mp9E7BWrJQy5UpWWw9mRo36TGsBPA3Epu/TFLUzypYid0xsbFw8xLPTn
q1ULfaXthMV6lgrNv/M7CwJuPj1MvHUwQIaE/E5GCJ8LaK6fStyG29byeNQ0mxmcN1zhZuwGWZxY
ganIGaR5xufmb+QgMrSxQZOGxVz6ezAlyzFt1EEJ2MNZXGDl1LMwCbR1XKBFXGZluMQBNAlgFux+
7N7+amu8Xxj4NP9mXnT7Pq3WqB6vldeyB3g0j0OzI0c5/SImF6a12V+mTHInjOWzYYPmJs01GBYu
1jyAI9WqxwGxA2b86usw1QcGa59yryh3A78P6uCmwHDkZedhXi1plRHZJPKZYeI4y83k2CUpa7EU
255Vy9nJnCSaNWvedH1ivcVNLx5YERf1RkOBKfCBcjINlVXfJdpA69+0hGkp7jVBqvhhbpx8y2xO
RHUv+otJ6lWYmSYbil4nFNPSnjGLrtczWPXGDTaa79yMYB5fUGTXt3oihmlrz6UNVmNe8v6hzjX/
GHTFcpoG69nGiPwF/LmWHOIKAXTkeKPVbazSGNuNbTfkknHPmrtBBV8rbbgzUg+Eij2qB1C/d2Ot
aWyJtPtqTvtbSI6vXWsRiDG5zYlRxCv04fJpyoqTqaFwR50wbE3S8j5zvNqHEZjKew43e4fZoT1C
OTZ3eTOke5egnY3vi4I22uaX7Ya3gLiCXa372jXBkvACAY2h1ND5392eoGS8kebGSa3yvfG9+dEb
NdTivf9mFY4ISU/3XggEyrZa7OohBLD8iegwnWkSConAKwHZWHDhJnt9iHjD8g3Bt8QWIXLluebH
S1hT7Kr8m2iLL7OueQ8BrslXqxt2QJTTG5hpDuMdrmwvFwY4lay1UzZfrb0RelueYaE0RDn1eI27
OrkaZnlQRVyEmuMRe0OsyAMKaAnb2U/7e1Km/cPiufJVW4JDo+bpaQCaFhlBFmRhQKLtpVbqmyz8
r5zOJTA/N9iyqOmfM+ynbm0FexEAhHJwcuzgY3FBsEHbEiBBNpRjsmPVmtxETm0huTcdeWE0s2xK
1c2XCmjZYcShuiUo4WuZVEbY4zEkXVUMxiMHZIcrpLdKf+Mq/MNgnhPE05VdcHl1Wv0mGcufE3d2
opJa8GVFPs0wgEp/pd7M1mOVWsYXtqbuFzurSVFeVBJs4hSnHtqYHcvtIjLhrWFoANlkV8PJ6xeN
GCuQN5Z5G9OoWDy3NX7tU4oet6LygDiWDQkmaGISxvTcMomlDR2SxwDXamtcKbRCBk4vbbDg8h2/
oVVz95Iso22FKA6AWLIq0Btzs0xOgLlY3/OunZzcVhtSocW2ZJZDjl3/eVA2mKxF9JtaxNbWKaFg
tbHk/iuaQ2rXBFHFQm0ws5QHCzXxJm1zEEH6uItb6yZPcwsvgNvusbj75yyt8Aphp4SZFeAlSaNy
kO1DiyeV0cqXHlZ5pBA97/Iqfma1zJRfmttYsy1Qd0JsO6cFeZTHp9ad6x1A8AMGS5wb7dRtUM8Z
YaPVAhjosMVEIDlOMhJpfABswLg3/lKkn8dAXVwK/Ej3eYlJbXyGrNLsYOwi/8+q8+iC9soNH6fM
RGmIgYXIg8QT3IllcwRw/QAD3N6TsPu1rPtnpPPOreYu9wriPOWyQzYUZidijtVW2HPKWMNpr1o7
DYSNaeYLyjoMlmVVPU+qY0tKuhgBeZqNAo1JkMWYJE9RTW7MvGF9Xi3PkAGxPWDGCDNm79+K1tga
k7cAQONTPpXuhtyXauNOfvzsGeUFJpmNkR5MItz77xS/ZP+k3c7IlwZgNbjuyR7wM3VptJR99Qyo
miQgmykpKMxgZ9sUO6b0nc2s5eW1SDhcZkCeUcDs/Mb14y961ybboJiA54zFdC9n/E7k5xghsSdU
PQaEI13kNzWjuBtM2GHVyDFcunZdjOrzDXitk8Z8J4RpZjG7GVDZBt54YaP2raHfIIP7zfSX90S4
e2JU+gtt7syLUSCfX46xXww7rCf7Mv2u+bLfGG6nX4wuFwdZtHcyW330KcdjKv0QhbIeCUF7i2PG
gjc/7M3GMVhJ52cfRTV1Ajzxwn8mfctaR5Dvk9d/jfvkS9MUfH4a675XV6+Jn5uBGBjaqeSzphH/
2ZMrR8DZEiaWd1kC/5MvIMoFQbMvuBw3ZuKLm5jYOMZounGxbSaXI9WZ1uV6qPqF0G32DzoguAbD
/6Ld9a4c/E1RTQtXQk5ggMlNINEXizSafb87tnyCP89t+mEV0I2sGHtxapkdNAAbLiQ5fxW8grxq
duALqhuuLBtbTGOVFHgNBEEzbev7Ee/UYdAmuQIbi32eaUkbCpPo07CBFvhmjgZeHBQONDlCPo89
FuCBpNYjVXUBBDWt93ZQ25GYF9J09N6N2rp/wneNbbIJbgO/z+/qTDO+O1nXn5c0c0/C8tuDWc7F
qSeaPSKUqH2ya+hgfmu+08Pn16K2afAT/RZk1kBeXZNcLNbyYc/O7IouhAT1ZZr2VgMSNR/olgbP
1iKFdGnbZuS5WDXGjtqytwnmIHCZiPKyTiVbZhsaGjb9FhAXHkKRWzszLeNbFy8gCPb5i1+htalM
D2deyStGUXut+7I+tPl8dNoBb9I43OCxoazoUtxmRfAZ8krGQBrWfl6lOO+EU1MGtct2LPj2XQCO
j2eH1CLKPbr+yDbJlFWTGSKUyqO0Ic6SuvHoVTV2zLIaIo4rZ8dpzpaCBKFdCQA1h/hEM+U/sJyy
97TCTFysKX8bChAaBKZi8Oaq5hYCbyGA8QdnYBv+RhQ5cbix52z6ogo1dC0Y5U0JA7Mj1QNj1aEr
bCNsW5FvsAvpZ1VIdSJq4btcSPHAa7FZewtzyW4MTvfdRO7rHRb/89IUxJIGBbPVshxDDevIap9X
2wLT5nm087vMxMFUNNU1cb0XEiS6PfU1q0DBx7+bpqg29H0yMu8oiVAIhZPOaw4738rvccZl6mNp
BHYhdZ0R6WzaOUbGYmH8k/RZplWHFRmMm1Gl/HqkPJLtGGIg5FR29PiQNiWmz0I4FC3zaeRJDZnI
M8nuFWekY7RbCsAvg5d/yWCf+La8m7BXHjNSkLa0kGeO6BcRD3Vk99OOVotPMlKeUA0doDgj028W
ozf3/jQyRlm4dBF2YM00HkBJMonud8vgFoypYW/S6Cz1q2T9zvJqHP3IREjC2flgzsnMbzQoqCwj
nZc/wrOiHVSavlkWYj2ZCGyNOBtPKXtilgn1l1o1wX2eaLyRvrOXo2SjM1nLM4vdO28JFIslwyQY
TI9U53ggP9rcDSmUNRY/3kxukZc/VXH64RvyplvMc+G775ZhIn15Z9q875X/vR1mQZubAYU0FqJD
qmAr8zo0ckHmihy+C9UWYakVn1NWbDu56ntWHmdhskFiJc6shAwhACc1s4DUWChb4HrmTX7XphzQ
Yde37oSXz/ZuSb00Txo1vcA7V2LqHWjKBzm3/E/c5LhagX/oQu7qbqoJH1Ee4l33LCrjDIk2dIHT
UIgVZR8xxUFmX/YOqAvDk9zQs+xB3C7t3oYaGUCQsdtjVkpUTpxqCjaN0ToVpbGEkjhRkasnDRxg
F1V+R95jqxVjGwJDYNTm0iPMHB9mD23WDgxJhDKvkRMLZg5k5epwEXz7S1dMXqGAwwYdE4ufmtL/
6Xn9/qO5ea8+uv+zfuOvFBecc6n6v3/+Y/fzz8lHs06///QHCDQABe77j3Z++Oj6ki/lG/36P//Z
v/zbxz+DJUDpss6l/2sswWPTq/Rv4TtYoKz+0zj+15f+rrfxf3P4Vh70d321BKFH+SW58a3fVpUo
0ldkqz//5tcw3nJ+I8VhFdQghyF7+Q/DeMv8jR4L4j/GFOwvFjzE31+EX+IXXr+fL8p/Job54YX4
o2AWfpaOUNbjeyJctfS/KDj6zATDk2cNGhUPxkqAeGEMeTaCfVpLEbn1arCrk9y/DzIL86uJc+Jm
dGm7hjL1ucmsHiNwnFmvbpfOd41r1o8IBePPKGOmOyasozh44+IcBF73mMfFcM6ZBlmS+SR02HEi
yJcDZWInl1r0IRe/1NKbwmioIkvG0SeU+KVk9pwB7WgZ/RpMm9x02i5DToVYEThHDTbbUYGv4TaF
i3JXpLFNszQN2k6XyOrbeGZOy1tQk49npWYKxKsjHrWZ3avJnl7gIgSV3mNQOI3wfI/BlOk11akc
3kiz9zhfqlh98K8YoJ0oNAnq6jGFInckiIZvXAJpnzGQw/JxW4bYipE9IUDOIWMa5+0sHOnfM97w
g4PL+c6tiVfbGUsWf1tcB/xxYYzdq1i0NQCMn+wVWys556NePAQFHu94ytLbsY/rJwGr6lZ1PNzn
SU6Js2Xsr3Ozpp6/BoiXRhzqhqSQxy/t33PwzDvpCl7I3IiZ8ujE9E4bO59W/vBCEHLi+3dxSWws
aWmtbmyZy9j1lkiZBgAt4XjOApJVwA7mUgzuHIRn6YUTxjl0vH7RgJCb8MJM7pc0HS9pH5jRlA6I
JzOnbh4NQ/r3ms2nBZZ7Rdqi7yB3IuugilvjCdaxfcQYYp20EuUpg8fmtmjloD0uNsx718uNE/i/
kbal6G3itkynOyxaxeSuN6wIn4T8MkJ0f2shtrwKnfw9emwJEJ5hH64WrfJ3rUqVy6BpDu4nQa7X
PNvBo8mRxDh8gdUVTC19icNSn9C6jg4M6YG5VQxl3um1yELrjOAihOUlUT/rCCOmvM6A30u1HPt+
Nud9FvfaxYzXfOwRFNXOQrFKg9xZQa6OEGEx5SSj6B88ACXFJUXgcCfAVkLHbF33uTZm+5p2mk7a
nlWydaCmz5uFi8NoF2ufIDkgaBSf3ijmjcYL0R5mJ2v8N4liiS0v/AuGuq4V8/6s1DHWgb0cd77n
+1GCAhyMVdww7DwpV/T6sZRyzl5JVg2YwvPfulUx9U84yLXHmb4uNIv46lXVcM4G1b0CQb6JAyu5
0GhlwdcccdKAqhdltK2dkkr3WKqYpf6MxyCLsoVeUV/UQtc8F5Hu8kdlUTTKJRlfMmUywwnS5gpx
Te46oR7y3kjhKwhzhQGYBg0En6EX16WvP/B4awx6rHjftC3aLbTQlQihvIgteZ5k9hXgpzVldsk3
p+ZnOMyoaXsUKWa/nbH5nOE05Mem1xnuBDVqbf+i8i4Gjmd0YeA30wmNfr/zpgxIg2JuATxqP2q2
9o2twk4CPAlljIzZN/L9nJnGhiwG76abp0e1dAiaknFFhjkvRtsyY+37Ho1y39yOvv7ABsGEsrDw
tnWIWRKb6dBQchP7wk2iuO7CLnfqs16L7iOfvRsirOI3FuzjYRpl+VhjiLvNcQeELO0BopUdc7s+
tkjixjkxZum8t93lJpM+SgBbV2GadmUEMBPCMJYq2PB40RE7NWJb+MtbQ1G9dra3jLSuhNHEtEzp
EKKlaff42dsodzX92rbxeOt21OUZ9CaISHJPaeTvsniOo4ZlaFjHTheuNflhaZoMHMugnfIqM8ge
II2yxy2/Qqm2CbJqBiMzwQEBMYSlatpX9EjjQa8S9Zz3reKDMWr7pJ2+U2SVewji8061UNYHw4w/
M/QjQWKKsQG7OaQJBqKmfuxdeE8HqwL9WWOWjIKgXSXWCXBYiCL2ySdMN5w0oOo9wfT7bFnjMaoO
55ZjV3wq3MWj15B1zdx8yfKdLzP1EHQyfgmkwyPrVAjHG6aB9MLyCwPqpmColBWfBANGsFQDy6HM
9KOqI1yiWQbxJsZYf4Vwr+0UcaBhw0b2pvYBqxMjBrXfqlZ+fF9fO3fSbjs/efESWemhEcg+Yk3o
3rSoYlj7TqowTg702EtQVH4A09yRYakydtaFaTUsZdxs2doj/EIHfRHUEsOCeU6MOBYFUjQ1sVpf
gbftPTj5FKoJcDeR9Bup9dqLEnr3yieuZoHWj+KsW+2DG+fN/bQo/caCsbL1kWvBUuFjYI+RPpkd
a4sUv79JLt/Q2RoLWy//sDq7+ugr4Ctuaq3wFBWP9Nm2O5/qVdAb5rN0ti5L0Ocm7YcHAjX9b5Pf
JzsRSP8iY/OzFpBWm9XJJyCezBTnmpQA23kmtB06+9IVoWkRTToYnHPLLOPnpLX3k5V/hhvOsFQ6
+6VhsEeeKKjNbP5EUnoAsKIxt57XvssKEdRg6ccinYpda5jiA4DBQACt1mzxg+eHwSS1lSHgbLPd
jI27kuRBkMpjcV8b7k2dAKurlrbfAezWmV8QIK/CMW1HomxJzSSFUsU7UXXf+jx9YgBAKUV9kS0I
YUZrKA8e46mtE+vIiamtFWJUuRYzDHGUzbiM+Zi1S7Esv5tF8aSZbrO10CV9Tk12zU3mex+t0T70
g/EdbSKUbRYqgea91aWhb6Wjsv1U6N4pmOMF9SOzaM9C4pcsSAqC/jTWhAeDWha7ATkjHp7BOuTT
XB3RThyd1fOSu8ZzRhoz+yFyM2owjpGBaXRvMsekzQE1MZTi1Kjp0V7SDrYMztFyWPWZ+fJNUX+G
yuqbx9ifBgb6C691XJE3W871sHPofTdz3VXR1KMnbDX/a5yYnwyQIW+6dKxbEK3AZXznXhrA0k3n
K6B5duBL3+1EmomzqLEB99L88KoxpC741pGTkZLYXAqyUbvx4AsyAlgH28TOMd8ffDfdU7F4DyQ1
EUZbjnlEMO10CyEnvmvj5tTyptNZ77OUzdjMEp5ZPR9R0h62M1iKbWvkxo0l8uepEO5DDJtiL7BQ
9RsPpcVDn65pxwDZvYHsPRdBsM2VfiHQ2N127vKi8my/Fpu0zbfA9QgEGIMz8EDmRslBmpgqUk2/
BXpzu5Ss/VLVhegnkFpVn9sSy9PSTU9j198JQ90qVrlUa6g0XJJcS6JJwnnuC2rAPgmRDqcbxy+Z
PThW5jCbRLhzgRbqX9xK1ggF2ArPHtpWjTHrHRGyxU+b/f90SwedrW265rv6cxP3owf5jw7vf1Hj
h3nQokf7rxu/m4/h/dufGr5fX/Kr4TMM+zcySG0Lky+OZ2wWf+/4jNV5+7vgikZO9yyM+Kbt4I40
cA/8ElzR/umYyFcXBHFQaJvdf6XHAwv+F70V/OP1n0FthQ0YTNeq4v+D3ipV9jTUrbCuXtx5L/No
O8fZMlA9OEup81hUchX8NieXK8pg+CbZjy2s7TAAonE0O3nhdOvNT1DDipvGK9v0LFlBInAREjFK
39rzizXYwydVEDShknnZpALzeRgMPinyQuXMfdy0JkJnnI2H3uqat3qIh9sF394UEvIzkoOwtB4C
qLgdo4zV1MFrc6YnbUEIjydmtXexADYbkeZTESYJXiqCbSwwUPNMRnM6+WNyoOVc+i0AKPKj+pKM
Bqa3xTfpaZJUTGeomG5V020cN2iaOaL43StRzbRHXPfesZlbe4mYmk1iz5CNv7VWlNAJQsJ8J1NH
zkdYWax00YlO2snnB8TDGtOUbJDuVNa9yST9PrDz5GHJi+FWlghoCSdXW9zAfhLGXUMqydh6hyoo
a4mMtFmSA06p6Q6pEdcxaVCoUEjnNJ9BlitvEVsqjUbJQ2w4Wb+vYpOZ/d53oP1FXgtOQd9CuGq5
TYvan24soES1EcJB1452ZzQkRIlEspHmfvfrmp6UDqecXjtR2iCNCC8uNq3lGlSnTkbneVPIwQ6A
PZVZG2xEw/4qEr7wEzKC8EbDv0T8E9/GxqxFQ9wYZLg4HZwMXsx+8BRxsNpAzSt1kpEOejca8dls
GVxvpd0N6wcHZ88y4YmMaPdRoxcwccvhpFTfC/3GmKtcWWjQum6gswMaBt7Y+JSAlzaXN2r1uW6/
qVGqirEYCK8yvv/xFP/7wPvvNKeMff6h5nQ1ll0/puzrn/ntP7/s90NPtzizbDzPxF66q7fsPw49
PfgN85OrI239ief8+xloeXwRUtXAxxHkeesw6+9noPGbZQaG61uAltCIwin5y1zrH865/uKF0snx
WJ1YRMJxmkID/cuYS+Z2iS24zi8tY9L53W5srs7a9pS901PkbTgCRswTM3nETVdpx8ZM2XyuuSv1
AYu1vofnOH9rraRnsq0LJ5xygM+ksbveB8pwb5vBI2kXeaixMhR4U4tynO1HDdIDlfDam9J4fyu9
GmayPqMqdHZ8hvOUfWOmKe9+aCgArZ1wFRq4R+tHnqG7Cp7e8FiWGXUxSD6Mqmxi6uqU+doYEpaD
rWGoHOLa2cQ5xZReXKpA4T9SWi6rsFAHGMT2g9k/bXReU8M+dT5P/M7PbavUXzPpqaXfw5b2TcJz
9ApNLtESBdsBXX5Nta6NPCnmO8csa0CI85jzpe6sLZ9FrXvZ9d8P4D8zajaJ8eDz+g8qDrrs9G/b
9+Kvuu+fX/jrEQzc35gmu8yN3VXGba4Fxa9Js6FTktjuSrvFjfhncycPJ2EmPB4uIBIHgv/fH0Hb
+S1An83jiX0dGBj5wP/CIwiZ5k9liM2oExCMi0DP5Em0fxw6fyxDsCoIWmLPvCy6AzV+T0I6ndW2
MfVNhZpbU5jgRcWFSZnvECuGXH1508yS9byZGYcOF/KFS7QnEFyromSWDU6fpbs2SX1ImUOfiM/x
tnYZEJne19ojFn/sgXWCvSjzjQ3wSvdx8MX0nPuBAj+AinBvCNlsqi6XodtRMPD9jMgE6wnTfIit
fS7hU/Nzo9NzkkORpVfXqtqTuUK9Uxnfj4u8nTqG2byOKF+EcZCdYDDs4n7zSvdk2Phd+iLYpon8
f+yd2XLcyLVFvwgdSAAJIF+rUCMpiqQoanhBsEUJ8zzj6+/KYtuW2LJ07WeHI3pwi6wCkMjhnL3X
fh4wSQZDCuuwGNt029rl8iZsI0ivPQv5aPLCIZ8CFGzswjQlk9Nc14OsKCGVkXXQoPUPMMlT6mdZ
EiB33+Vz+7bNONWCf+ifWqu397lX+DQqIdPZhcvnFwJRKQHqQV/6ipzgIblH1loFhRDrsc4sRXTo
Em4mlELHqE/ftosycfdl6w4yldgM0JM5AtUcYJnigygx5GYqBlIUqrw7Z4n3JhbUKGEJ3iuzIIMl
9A6qIFXL0W6z3CKeDEPh1gEfTA/UPBhonba0UR9lPy5UEvRF1Fkf9IMdcqTk4NNKw8VcM/xZdFgp
5xkvYymSK3I1FsTw865avT2M4HpPra4MhsxFaCS1aly6R4WAtMd6tvUzC73hGhqPi51UG9scJDWe
2t/YA11dy0G+ZIzFcrIqJGVov9ZTJ/yRasLU7LtZyL1Fky3oZtMJSrjSHMQIdRtcB6sBXX1F7Gc9
185VQ0ccbgc6GGk3wdC1E/K76BDbA/DHpm6CPIdwmTYPVec++vN6nVqTt4lG19kbZWLuhLnG1G6K
pxUCUNr0ziGtKD5OuBARqKXGubHUV2fVCWQI7APGxAP2oY07MST8NrpTQOb2Q5QtW4vd7DaLCDTw
xbp1utzciF6eGisVnxeS7XAzdVezkf1JDWTezbFf79KE1U6WFOTXlS68kTMWkjJtqG/WgBhWZ9gR
7TlvUYY3QSbaj0bXY3P1ZkIqyo4+KWyPA3YxZ1fZytm7bET3oZ2+b7FsvylNSJm2/6dOJIQD5DVb
WbvGA2AIlMfUd53Ay5Pkvhgps8NtNDf0CJZDnaj2wdQJslC5s/uVtmXQdeubrm/zvZ/CfLTC2N2v
GX5bFHHerpxFtOktw7xNWHw5tGTFDsBTrFXwFv1YGxudl7onQUULH4g/UoOITr0crSvK7kNgsMq/
p7zMXfQRh1kAGrZuRBCinCjFmFIfzmVqvsdnYm56Q7i8uQ05EnHtbdWwig1pn+W7DIHobUiJ/Sz6
jtIYbDIKoZORxdhWUKPPPUYO9BnZziaoe89XHa497ML8QeOajKX8gFDhxnCyPxNsWiAjtHilIeZu
8Ecj8FbuZ7128ujFOQoR2/xGiRSE2QRACsCLrvD07+iHn4ZydM8+9Fza6lLX+prdRPoCKg20ZCvM
t8Ah8wIbrPpCPul9Ajc6FMNtPiDuN4FhUew2vhbOuuzzFnZm710nE3++88rD5C4L26WyRBRvtAjW
ujpYQoxz+Fj8jXCSp4a0zE3kr+86DJpHTzPP8owNyuQP/VaY/rKzCJ8M2hIzrRm57ZvF8vZDYT2p
higRP0lthLSdfBdacbQtPLXTIhicRCnwmebr2HGY8tYlRO2SYmPMhTgTeQAKOLfGXbbAtln6jPOS
KvxjbJtvq9z67LrddUruwqmT86M/UYfBKtITO2a7JxS45YNS4weq/VNQ195XN6bbNIa69BflD5YY
rjynb29q3zonFUo+WVX5m9yDpWi2t3lMlGVox/42bJpvbYvUMVFIpeU6VAfHGRKCb5d012AYuV4Q
zWHJaH0M6aE65mQ2dnb8mYaYelic5VjlpbhaXSx4o7U0+97Px2D2+cRyXR84kSW3CN1Re7IIzQYN
vGyiAQm4Jt+3gwRCW8h3NV7LwO2bhBJ0d4rahu7maBubqEenQhXKDDjju5/ybP44hcNw9Bb0aoOF
+CrK4/1g9dNhLmdjj0JZbr1iVCBxx1sz8uiNOI7+4sjamy7c9tJClxveVwjyKA8ke+LZJmrsaMpE
bHxAhp5SfZ6f7QTpnZ0Pw8mHR8dck7QQDUN6OzPWEeSSeOkNZrnJN6g0tn5B882yKd7bch+hY0aC
QtVudmpxiLz0wzQmEku1/7D03VWXIf6ujeibbdTeOS/zcG94Od2SmtImnCd/J5zCPPs1xU8yTii6
MavuW7LQA4Rsq13+mbtd2b+HoRqi2Yb6A4yI/gsEnHo7941fTY99OBbIxdMG3BLIKkZf4SNkbRWe
BC+2Mv2SoVmTnU3Vr0pGeEc1xJn39jCVNjKaZWkp/O9kVzF7ZyhmqTFmG6h08t52Ck4KgLDnci3P
rT12HtGPFZGMclOmOXweeNA1fa/2f9vr/5+SAxrXL8+3j1/boir77x2V9svP/EPCIf5wPF07Q9sP
xBCWxj931h7eSOQbyDsc8aLv+Ofhlu0zYgbqd5bH6ZWtL1XFvwp8jvUH3kfQaBxHfcFu1/uPdtY/
7KulBclEwGbhG/Ih5Evos+935T1fQIWgLSyPqC3xdsUohkiBsl8kPv9WKvKarOa7AoIgYGCfwiZ3
Qv/37z4lHDB92LAcjkNaAqYYwcBu/Dms8HqBZSpANp0IR4AdVpFk8Om7485PZCqvHaMoRCEl4lI3
sRhSKXgdChEDmkfZzw42wvCZUfzCTDnOCEwKiUwiFcQdRaqo1aYrEzvo1iX5Ohswsnd4nu0AtDls
e3iPh370861NgsR5yKqY5lxKokWaM+v1S0u7J4rWN0PnhfcFfIDgv7gIzmUKkg6HNHgHP95Bs3Vq
u8AYeUQWau1myn97BILIILxped/Y5LOFIiOhwiiWkSUT6PJEslsgq2jh+yVKS0es+bbqUNmbI/nK
yCrX/ehnxN2oEQD4SCe1SIZ+v5RrT/u0+E8hp5fnAE9TEacHkdp9DZLsHBvhg4fbILGhg0FZzTcz
aDm6kL+Lff0bWYYnDgPIBmBD2eZvmG1Jr57jFJ80cnY4Lqxth971mzNu3ObOlGxbf/109EvyvQ5K
jzCooRTcGeJUypkxvh/elujKsjByPi9K2jtmFPIZhkj9hkzLK//6U0g30TZruKSIt16VoVTLdJFP
hn9sweEesB9+q22VHLPOf/j15VxiQF9dj7QEHQZePOpqryeFNIL/ODEGobcDTli9DuSDYswsCw9u
KWzqUCLGQlhVfXZPcqZ/Xeduhi9OhPfxUK5XsO+buxYmTLJxR4plNZpS3aMFZxRp/DnbFgQwjM33
wANJDkPlhG0rSidKTU7Eh3BCovbkW+h3Me5+mNw1Of76Il8Akj9cJT0SDVH1cP1pTrMGBn0/KaGr
JQKinY9EPYtNoQEFnkYVYMHL9lXWgTKGYzDnLUADjTZg8KZHABDstS7gA41A4DSNt7iHi9C4pflB
WFlyI2nyffYm8AkSjkIrJuudUAVOxXbKkSK7ITtEM1N7YlSQSY/gGOKotIJSIxoozot0jD4znWVH
twfjEA2WPILwr65YXeJjAUJjZ0ducqTuiNFGwyBiyxGHzq78h1ajIoAeFkEpmpgQ0yj8EiMs3JII
HZ3gdQDIwOPVbEYNnyg0hoKoVrmrR8vZktY6bF0kE/m2F1F1zNoqe+yhWeQaa1FqwIVU9fK8LIvW
O4G/oHJgH2TooL9L3djaokh2A0MjM7BlmQ8A/YoPVAyyb7WI4TNmpoKzoVr62ZupMsnCLuP5o0ec
YuBpOAcQsfxEXP18vWJweutqiEfvJ7q+WiTTWwA3aCxwTD+ZcD8MDQCJIYEYGgmC680g7TohRNFr
z0Xh8q1d0cBFVKd5NMqbKiSn3prLCdqIBo8YHExwa1zr+0nPN623sGKNDQGxOH2B6MiYmANnjs0T
pKji2tGAE+PCOhEEA96IwYCAgi3c2pmsL1tk7zYeC+WfhtWxn9rQ7W6BinTlqTcHtcXfbD9kzr7U
uBV65tlmaGz7qdIwliy2jMCuZ/axlVW270sKLRgT5olHg96701CXCbpLHNMlCoErMbeNJxQMC04V
UHmbNraebRpeQUs75m5piZEIUZyj6sqCMcrJYddombgg0K81zTP6dMI7IgffjZqjd2UavUE49TnW
kJpY42pCDa5JW/cDp6Ini/iPAIFXSqyCqx57Gfp7u23FtTcP07nUOBw8IoBxTJszJ/kam15jczwN
0PE1Skdo1b+TVlpZBWgnQ+28RecffsLjsfBlAPKwJ3a2aEfRWLdmw8GQxcgLWIY470a+C9FnSpJg
iMD80OAxriRKomuirU187XIh7KczybPrPMIlL7wg00rrt+uFIiQ6AVBoEc4pLuf8KDRuyKt4XVyD
Wk9GpYXcjWFnTaQ9E5LAUbePMeeaafmlHZ3oY8oh99kF/frRHtvpXPj+eMpGfPYjhY7rFqPKAf9p
uKXHOZ4GwftlLBni9pxUHpuDsdeJE3pYb20C0bj4Cc0IlZKxzu+d0Sz3VNjjk4nXaOfkFXCYhVRS
hHjJQbhNeZ3MmkdsFj3nR/6V3BtOqaAkm7OqzSxwq2E5GC7yzaYzMzBE4/JtRBFV3dAkyIOwZlOw
jsTvtZWVBbVV+EESsXKIlRhOyxzqHfBUa8cVt2fP7S0oWkuGZYaYdFQ+3YdVTc5bYN/mzZKYzRBk
Ye8i1Kur8SvGbIzyublCSEjbL7GHqA53hPcI30snx3riwTDZX5A3Eb/NsondyciWr6oIJaVGQpBk
iEet2QyCFsMMwes+R+72McUsHWQm7FdUvvOtIbH055kAw+mA26ojNTxWfYcwMEGmuRqxyYGYLKS0
5SIhGK1vXDwc55WE7+Oy2PWNHa+wDDro+MsEg3BL7TsLyFaod6oduXJqsm916TGQMHZ3SDOtnUN1
+e3q1SHmMWflZyyVkzTpuvqoSYrPlA3KPIxjzyUZrq4g0TklOTpL5c5WsXwrmBhAXqAhI2JjPWI5
yrfKw73IXkVu6xCvLvvI9jy6jFdhx8s39sDjYzK2zOuV1ZzTJR9zQlsd6yDMojmEpSGvoLMZ9wsf
EAcGJ1DkTB64UbnE8vPE0RJDkBv396YHtouIweG+RVAUtF4sPkJl4dRLKcQbm+rQwRqYqESa9pWc
zUPfMCmIdrBvRrvB4RQ386nILHc75ilZiXYY68izBxEaIIj7PqF5OkmgGSZymVIhk4qj8dDW4xIf
uP1e9gW/VhNft13RjIxm2W/6uRyWTV+0JmpvKmnXKizINHXmhT46wjcnvpknay7W02V5/19D9jcN
WcJ8HU6Y/74f9OEJqTWytOqHTMS/fuwfDVnh/gGwRzKqoXNisWVr9I9ukOX84dk0YjS88V/HVd0I
shyoivzQK8qnxMIg2R/jtOGAiTPiPzmu/rgH5hUhUJFkd1rEeOAujd0f9mxrtTaD0Q3uXTHmyAlL
tLt3bd4h1UYD233+7sb85OT446n18mEkd9NBNpXjcrmvtvWRnJ3cQwBzFxOE9OmSs7VQTH/Mkr51
Nxxw6k+RCb5XjSR9/RcfjaEClKnOonitukmMTODYEs7dinLlU4lsVe1esj28wRUPtj/jmerMVtPg
UZEkvzmv/3iA0lfuWTQBTZ+kIx7c64+HyheVzNL2XV4YUOV9Y+xxT+LgrKln6o+bWQl/c7x5RUD/
60MZKg56JlRHr09RZU3EcFQr606SB/dQ2pgprMIlS4FyiHqse44ZTqIz+QYxQFyOwfg8uzUTbW64
3IeGBehQezrYrEPOGu7WdXWeAI+CVAjlaIqrsQ51MN+q9dAdnv04mHMs8b85DP7IGX25DFcTtFxL
0gB9fUzzJ59GEXW+O/aIjJUhx6GQD8C4fbpDD7Tjq6s5Y/369YB53R/VT4zqkmLV4MXg7z8eZtBi
A52SLbFZYhQPJRHMB6Ki429E/jUAnNf5HlyfuJEex/4N2Ib/LMHkctW2uORlUFdnTXn1rozAEbIm
m8WdC4j3PtEvDGhTwiXHRtz8+lIF89l3B+G/PovzNlpZMK9/i9cJF68vTXMQdw51jXv2kfAex0Sw
IQ9tG4B65jhPo+nqt5M4x23tTbwsRuoBDc9i4zeP++8zEmdk9CFkwHqSMKpXF245RqUaM2QHymLa
bB0PU8y11RN6t0l0fMWvr/1nL4muCPJe8j9Pvo5EEXWK5sMerbu26/2gXGKA7Q4Qz6vBI+2waFMH
9W5XXdGGZpSrfBU3lORnLQrF57HRZvgrwyWMNGokNpaM7j3Q/VHtLlmhcTyyrSiXlLdM+iX+TxWb
iLx/fRGvEmguD9CzeH5UM9D8MGJ/HKxpHoWDvyhxF4ap2ewvURaXcUO3q/7UtoWxzf2JeW/hBhY+
+V5RgiZ22y2qOdZLQX8oyRwOryvhkC0uUrMjnYWQ2V9/z5/MglpW5FMA4ctK89XXNGZrGN3QEXd4
mbghl9ss6rb+JMAWPzQ69PDXH6hX0B9GNgIMRjVrLsVfPCmvP7HoIyuF7dndTTpI9EL5D9Usn/DS
cGgbTDSLiO5QCIVJCJ7dHFME1xMmpXcJ3uJ6gyqAEEfaA7epyQxg6niQxCZUxNFj4nKLOlYNdyOS
WF13o4fvgFLa9YXgD2VY3Gg3ym8yt7iC15fFlfCc2WI7FpU/X9fPvqu0rH6mvIZY2jvaYBQAMNK3
QQrg6C0orKU/lpjtp23qjUg9Lcn+dkuQYBjvVRxBoMv53eZ2AQO1tVIadpyHvP0IxbaH+N8NAmJp
tNjgYWVIaoa9Kk638WS8rw2cI4HpVRW0gIid8tbBy98FKFl4M9JuApxaxNhzs5Qcb8evyzuamfGV
3xXpNYel6gbYBnZbcg7MYVNbufFRLF72VlRL/sXMOuIT2QfEKKmxM/P9xvh5kdgCURGQbZj0rN9n
U8nCZrud1reNGQNYnkl5Ikut6swA9oJPIcbzjPpxKPN0IrvS894p1YA+Bf2N/5x8xGbcFDJqIZS5
Cu8wxzT/T2KbW1rfmEoyNJFrTzYFnJn2ZOHRMiBFCAde0EBsUT2GZ+Q70EamUQxbzxmj9s6Y8KBu
UtmXErGGlcFRiaO6vvWiIgfIoUAaBX46qccIV95jnTFGPKTlEfZ3Ml6aIsaAyNaAMFASkPl2lZRP
nXLYJpQ+sw1bQCbiEQbN/UtO3eJ1RAQALDC2fhcCyoO8lnvXfuZlAyuziIVfc2AaOLycKdemCzKZ
qrmmvuMLhDpVESNFTWb/RHknvoEH0H+hYuRWm4ij6sFM0jYgpDXCGOO0+xZgVtWQcjiZ5vqRdn5y
tkZ/DhDVWH8SMVwR69vg1FdWuLdWu/pcqE5+rGykKY1bx88MlPlrNIQpjhGqcoE58HgoM/XloY1q
2HnCG7cMrEu5Iyzn2acIYwDjrfpnB/HqFmZyVD8Y0ofXPpY+9AHCL3JVPHioXk3FAMiXygsKpDZ4
K/sFVjktP0eq0OLvgkIE8KLMAScRb7A4LhhcfVBh9UcjHl2br5uluMWXZilgt5p687PK+b7KMh5Q
iTX2ygReaTPbG85T4090BOg/Yo0pEHm8nwnJHGHWkA5XcEAGOuwp5hVVMVcklzBkvPgspk5Ju2ZL
M4VwobbjybrUDPJNklbG1jRJqpzUxPCCBMSjz0ambFB8dzjF1x6hn6sTLiYa+olJFl0PCeiW8ph8
Ik9WPU4Ux5+7Vdu0BpeJx2Ee8pwC5mEb43xpeEP9LYJofj3OIF2psmV1xbaOPGcXmndG1vkV4mPr
oTGl/kNVrq57QkfAHQJyAyMMGiyCnNXz/8ArpIIyJmx8LFMHGnJEpQPkS25Oa7FSg6PR6Zst1t+b
AfWjQrTJt8Jypa6VV833lnRZ1F+qETrlhD2cfx1SgNIUNwJ7K7971jjMgbKmIx66buAfL9+2GAaY
HJyqabqw7YRiLROk4Je9SEaEHshxuPLHKBrFzbDyREaHneECjARD2wqLTOf5DAnHDTtPLVzSdG/i
HrR2sOjd42Jx7wU1WURfvL/QLQBrP5MGON+n+p9eMnuilN2nmY3y6ZKSica/e65zgqMaFTWf0gzX
8naGCnF/2Sis8IuX85zm7pM1s79Pu5xH2/BlZstPn1F9osVJ2A6dqsYwb8yYV9qtQvOma3PCdhhG
PDtLf9uyalh4QLAcL9nM5NKwCa/w/O6kyOpP4aCzn5cMA/UuRA/39JIZOFbuUp2arkWR8VeWTTUR
0dwY5HtvLxucQW9VsjXtn18OP7be+iypovpJMA9QTMfImhTRvzs4byYIl9dxIUHvefQsDiw7fEFK
joQ8a99AimJQhH/iGcdcXl5eIUEBfd6Pc6u3Qaw8fdBOd74zIb9VHc+oDn02d/yrinToOyY05rZK
H1XwKVNaWwQbAzqgJ5cnfYPP2ztxOdWVPRouopkBJQw9er7tOFxSLllxez08JY6tGxOaeU7ZaeA3
pyPbVcenIviG8CKDwn8ccgYULpmxG9oWvr2jzcaXCSUDuHcy7lkvfPVIXIT3kGaU9nd9YyYHhNKM
kZxkmqe4mNiVYsrm+i+TQJbb8z0hmNwVGCzqGoqXfSJmgBfO1R9fTMTSYCtmO9YLovcEXYhLQg7b
/ebYhDZPFfOmH+Qs5NyHiS2oKpPw8ZIrPxNM/tT6ZKRmJtQnNDw6TBycorpu245vchmJGKNFd0Ws
uB4b7NF3okXNwZ62ibpbNRPYefIr/YBAGzI1WVXYHItWKIzB66wg/61GhzMPuPwGWBl7IGuKincE
S8kncEfiwTJ0orxKOYY4uHIfJrvlJtuW9uMzzyuq+ImqP7lRzYveiGkmlJlxy0rEHrlzmYFaUFqH
y4F3nQyC14TNK0rH5iFh6jY3OGLEA+V88UDkAI+l17u01Z94Tpcd42XZXNBEIxXScW62H3Ptq6zV
NSnYBiZgi9L9MHCSQTJ3SzVtVlS8Rb7iN+PrxC5XkSVk79VDz/taxnQW86yc7811Qfno2au9H7oc
H7TsIqajJOPlskhjR2batRLKOUMehFkW6hi5kPinafQawk8lkedSDbm8n1sIa9tyckgdMlpTPlGf
Y9Twp9VjOZscW/PBOWU4iasd+SdTfi5Gl5+mgWY17yjiTgyRkEYJfEamMhzSeu6byWw7VJFgkmcr
EukjudNzXqEVQaimvgEvc5E+uI+pxbygJ9Y20jnzl7EbRjPLGr4WEpG8ZPmTVnx4dxmfgFnCAz7w
AQhS42RvvMFniPjm0B4dmY3nOFrQTL0MiAL9zbcaVdmI9mxsj0YK7itfavlEWVc8XEbFS/J7hrf2
xgU7cBBNSbii1NWGrDOSauuiWyg3vaTRu0Uzb2y9xqII0cqUeLVEX5Ax6WT1pJX5tnXomBwWNkKk
RglL3AiHS2DIiQf6StUUiDzizfLChhXGs0jvIyppvh3SitneTsRbepbrHSd1BrVpCLT7/cSkfZkB
HYK9igB3Nje7Dw29fPcpd8n2Jl4bvQChm43sZdrWY8+kgBNnDPeoTRXTFTKGlQHX85rZzcLnRvUy
3xeLw5Gg5qj2qOaFjZ+MuO5hGX1Gt+X0YJdxFyFYZC+0vhuFn8zHnoSR+C38MbM64Q0QN+0lqlT6
4MFY+UGfBaYIV2LH5MAmJDIyBRuwTvALzPp6PTXdOoPlvRv8uXhLIh4C5hDQjkq7o8wbc+O1zOwT
OfXfIixfOCwxoNouR2oiV2xeYDwU92lSsyItCUjAnpKnYoeyuI9ZSk6XTGpmuUpO63wwhpR8RNJp
x03UYDqNx7k4JXWdvrGxOgnocrI4cbKfj6Wo6UbndV2+CSuav2rO2S+4OsgMQAIjrO2s3t/Nc9eb
50ZP/ucUbPS6pTDPnmpwKk4wqMpORmVRhaFmQ8B4Hk7Guyi1eDxtUfPXRgluki3X+ZYK4LTxsY8c
6eAxLzUje5xCb+lg95ANF2HhpVNibIdm4p3xGAVZziw72YpXFdgbrVSz5euFq0exyarYHxBjwzed
L4tJGDNvr4Afsq8Ve0xWF1WrHbEg8EuNNHwMfZ3MfTkYRmZU1uecVihTXs+cVqG3D6+op7WoRyt1
najIOU21EjfRLNWjMPruGV+0H7g2PA7OYDzX0rVYP2HCMFqLiNlqdRPrQccYbC/zpkozJkfFgokQ
nwxRaFFM6nWo/Oui9ZOCrhXlqwnx3qcsn6dN1TPvtQ2vUJ8zeJLQwKteyb0b6ZkZxCYrEGe7+GjJ
OPnqjC6ZaLIeeOPgTEGVysCMGC87DGhHg8HKXOB3c074yUzvxIFt7o8d55uNPwztge7SsM+1r5Kz
Sk+jGeLSg+8LSnZSMStR5+GWeKnBsgHnjpNE4bKwuOPiPsRUrGFIIWWq5cz7sEZ6OrhsmSUMF/C9
EJtVWZh7OsoIDd2lt/Z8cvwQt8P8fo7d9Tp2luR9jSo76HhDmJ057ax7FkRE4Z5bmNZ2cWrjtjVc
8Ddsp0t/Z7dEvFiRNL4MtS2fQRKvX3N2ld+qfO7Ybk85qHp3sa7IOgUYyKbskFNc+Qh2yG1pDYc5
Os0G7fYOkkVzlvac3CQeYdVR6iYfirqP3hFMM87boSAzJuukeYDGstwouw5h0NLzqZqF3yRLM+nY
KZcqul1LgxNrbkYT2sbebMGbqdF90XX9r8Pzuw6Peymg/KLDk3RfKhqMPzZ4Xn7qrwaP7/5xKRMj
Mfynp+evBo+y/mBAu5TUHTIdNFvqX10eHHd4eYge5r9Y2nL3vSiRCdCjngFySrcN/iOy1OvCmxbj
gH6xHBwRFo4k/d+/qxfRmIizgZXyZbPZFmj1pGC2WJeFWa9vOfr8uvD2sw+kfk6fR9fd3Eso9Hcf
SPapVVt1Ia9saWEgGOmSA0hAM0dSyzFa2Pn/+vNe1/n0BRIuzv2iveJDIvnxAlXqrh3BaM6VV8Xu
EzHWYAX0ZrWT4+8K869rb3wUj5qWAA0JguS0S/L7e9kSJxwNmXCuMn0GTzxaVbJfmZpcosxu+pUz
uZeBNUA69Lv66U+ukpFECxEtHm20Sxn4u7tKFjHqA6N1rjrSSU+lX+syvCxZ4Ng+/06D97euABfK
CBSgI11BOed1kXHGVFSA5XGupopmHkdAdiSbKTXZDI+9x2pRUoaLz3DuOe6AFB075sCKYwu0Y8oa
Vvm7Wv3fL9+lf+ci1RII6ZyLyu67y09FzDkXKP8VuHIuFwmYrsjCuvwvPwsOAOpihjAD59WAilJ4
STGMqisb6/TN4BiEe/TFDE2TbfWvx64eMP+SzdF6UGiVKYqT+GgytF53ehJ24yw/g3M1hvG3zupw
W1gU7H/9IT+7d0xCSJP5MGapV6OWwjb2Wit3rkg9gZrsjxxmfHBkW8He+3fdTs3m+9slYS1EVmvT
kECf+uM7gn1HjCtorSuCTthcXxooaB7YfZNVWn/ym4wTkbvwkuqG0xJDw4xw+L1IFv6tSPonIxif
M9OeqV9Vvcn48WuEFiCj0M2cq9nvrbOdlcKAacDWqDY6RigHn2KXZRZ79WUd6GReXl6pO6DMIL/r
QP/sCWgOhaP0k6YH/uOXyXBCzkWGUa1DhnZ/2ade4r45yfwu6ftnH0XyNawKj6Xlb332ufY5YnuN
fZVIbq9SYFu3sAaY6n2Xp//rkfXjVM/0jZ6V3qFyWFnoPL0evnXcV8DMauMcUiNYN4bR0meyKXSt
E4XKEfWd/5uxLH6cgvVHotj1TNK9Gc3od18tZ3W2IhzGlXY2QyoJ4BTY6HdtN98DtKJX2pHFDEqK
00DsUztLIl6pgu7BFT4vtvN+4sLO0pvlywzyUupZVqopwPsMsqQTXZb59U3CYf/DK4Hiw4W+pJvY
SDpwCr8O5wQJkZIEYztn7IDFHq/huq8SF5eP6LKB2G0wFhEw37QFPVul9eLuBL/sDmklZYElzTl5
hkXIgwxl1D+vaNefZytj6L6cai16GHHAzpAqDM5Wzq8iog54OfTkLpVVM+XHLsnv3sLPBQiXEF9Z
afOp110rP3JgM6bcwM3Cee82SnJqichWkCiusYEyVIWNOIpO8qs7L0auVqgYaC25jqG9iYbEdg+A
NPgMXaC64CebBsHwxhkdtIAUksRNF2NVwvrLEYqafb8eDLbc7vnSm4O1DK5kaQWR0xla2Ge6SM0n
ry6t+lyIZLkXPrsWw+oJWl7rLEo+C6LgND8Wiw+oXOpDj1DVGXt95j5lkDTp4+o06gXG6nMnar1C
jxRuYYxYX+o1tI7Y+pr71u2Lg5w49npJ5IDU7BTg6kmRJrS9VB8Nm4MONQ16foTlbe3Zme9JgAof
F8dKDpcG+aV1fDmhonjj/iiYyvddF62PFmLt51rpcgB8Dc54c9s9ZwVZJ2ihe7Vbu1DYW39p1eMA
oNWl60YShgqBipBlxLEb+wZ1tkGXey+rXMlKvce5nZOTXkDHx4Mx95TcPE8fVGMXwnlRLqt3jvXG
5NKjvxTfzdTi9Es3bd7lpkHZ8FIgbch7iYPMpkDluRl3E/VhjW+18heiNMzQg7yt50uD+lZ36JyR
FrE1awEIKnDsnW3PuugS3JUzgqMl2hWrL25ig8ZXsMiCkgwFfSoX3uKw3qDr5MAsSpuxTIileuxM
2P/g+/BVECwGoFToMNe+9xB3LJfccnpqnO9rGyniiq0s2oqEoHZgl/LJ1YxLLCYtIQYEibfvyPa1
jitgCTDlket8LsexfPDXZHkDO5TUP4S/YkNNQPh71PPtOcmr8RTlupXQ5TP003KthsDsQpfq3IqT
znTpi208mS43BDWbV4UTVzUBlgpvruwo9NP22OLuWB4yPCa7gezH+pyZBPho2xlgOLMr7ygZ+QCo
w6GgYND233xnrU7S8oYb5UqAdcucQt2BOFPDttdV3cnEXo2/dak/Ithuu30nF/fLjHQy6DDRXNPq
JDlKCzmmjRrqJBAIMA9jNVQ3Kh0FvNi1iz9HugPnVRBsFpeQIfoQ4ZVYeo+0o25yP9VU2DCm1Otn
AnGrMza4aEHx5ayfyRXJdlJa67YTI4/RR+pD8tNUfk7h5/QBvWUi683WO+jNaLfxZnqegZYY7Eis
wpPA5gUuskX0A2LRTYlq+H6g5HdCzlKf0haq2SKH5StJu9MuNhLjDlN68THJRgczKOZXOHpAgBrQ
9l7WPsEE4f2g0B2EVoGVeGzFvqgrfpFvUH+mYUn8XojQOYOFLQLXo//Ub6lSeDZYPMQ9UaWffD1d
s9P1j5YtFhmUyYgWPQz5IAAFYUBmQUxRvO4oy3dxsFaLsbOKanhfZ25Tb8ey2+NhXqgUm18Ivas+
qjwBOa7EvO8MrMpETZgHFfbFHasS/I+V6f3adRqQQ5HJE/VQIVxTfyhvkXzVEO96BrVBrHL/dGkb
GOiru02nWzs7gpqs9Ar0Oxtsy8YBuWW27Z+j1mRCqlYlHiARMGTNnk5W6w1oTvxhluYO7e1MQbVq
THrItOJWjPBG9SkUNMwuFS9vydtj3ynWY3+QZC8D9yffss31byPorzu86PBQSmgoW8VsO3OO6jra
WoE7UrgZa4dXf4C+dHRm0LXHS/Oprhm228qDlAlopcw/WVAS2M/FA/IYFLiVNrd0QNdkitX921KP
jm4tgvHLvZ44mtSZvqJJaUAaZYb8QD9fnchB7o4o8gHFlnOUDJucrLE/u7F/Simr7qSTRDCcFqaP
j0SzDcY7ELqVffSt2L8B50CDlXzvHSZi8rZJ1CD7oKzfo2QovA1gjOn9KNvinhbFN+KZPs7YPd5m
vUXhCu55jkIZ/KAz1NZzBMn9eU2S6V00eDw53nh8xNipFa0IQMqbMU5IjoUS4Z1hLsKemKe8Bt7i
Mo9vs6GLpmOvZvPKaarlTdP19r0LztLYtEU2wL/nKaDlhxFCyhAW1N3/cXduy2kjQRh+FZfvcYEk
kHThVC347GC8iZ1s9oaSQUZjCUnogICn328AOYiDk1iqzdaqfIPArZlWT89MT/f/Q1TldSFS1npg
Anu9SUNLP42FMelEQSMeaNOadx4kC/UpMFvT26QVUm/e7Cui1QZIBrRPh+yJLF1k8BFMPNyF2Qen
YGxoN6QrPPXDWvY5S0YueXQpQKOAcP3tZi0XlAfPMZkrQXZoE8Me3ZkEzbpUAqg3NTMDcsKZjmJL
EcBWjnXSFHwA+m6pv6yRdwHvSERW9VxcUECcUioN/2S/LbS+PrtwyAV8aLlheAWvwuJzKJz+x/o8
hd7EqUMfPB1l3wAVn6Tn9TjWxM1MzGbNjhGQYwMVb2a4d60ZAe5L00njK3a5tY8v4Og81kUENkIN
1AG/rdT0uktc1MjuMmb458Z0EnfTMJxewk01v/Vf4rF3FppOn6h9g+2Fg3O7dLU+9BQhK4taZzTV
p3+OlGkGo9xLnzRqOHyjb+4sUUG39ppQWym4UbU+hwNlEk797EwZQ5zT8SC76Sb6fAG5CShtxrnh
6ZAs4H3tQGml/QuzBjLBKCS+q2kT8tC91uIqTnXxKR43Jo9pYx5/MTywQqazhdtZAHnWdqmzBNyD
sDf4zy86BSzwvHWI+DtDEnSYh5I6hYigGwvvTENV91PYPy59jxB2pwmbS4/8sNljPcpq3aZIqB0R
6kS9MGpqpFPB7DcvYAlvZp1AERArpNjuM4HK2dfQUJMBxFH6MGsllJDXOegFF9drcOryEngwlPUN
4vaACU/EWeSQzXSlJ+Fz05mN7uMX0graCxEnN2o2cwLKEcA3deADm7c1IutgNvtRrwYs5LlSb/WT
M3PEmn20mEtmPCegnr2Zaolx66YAfdY0ffqXw3k1aTWjxUuPuLBeb/dD3+v5pgcMDdWWNRKHVd6a
RwBJo3Irg+Hsy4wc+762ytf938RC1x2RmPznS1SjDRj+Vygu+e19IPzkIXjfj3KAof2Cfg66n+iR
hEAsRFeXjVq2+C0ZkEiIJB3ap8da/cQAp8Nku7C6SGD1wApaf13T9RMyZYE0Wsb/CAGyYeSBG0o6
pIa3e7hLa7Arp9CDAVBGiaRD4ECuEC0mlf/ndLAl4bsOVPOkSWqOTlX5SgcodVMHJhUD5Au3ZIBh
ea0e+O/rwBqOKbNk0EdikGyW8RPjknXqZS2hwWxMP9e9JG17UwuGecJjyO8n4351/SZLOKgFVpit
7XqSXx4PClhgJtF8cMCW15Yt6M0TiiUALW2stUQw4reMh4NaaPJ6SpoCcIVKU8MrNKBLkteWU2g0
zBOW2xLvgainvP5rSlDJCyV0V2pAqKBhEOnjCImU4D1awC1wTKzgGjmAktfvco0HTUEB4rDsgACj
l2QKwmuqPADiooZk0y3ouAWjqXJ2wAmCvH5hQPyEB32dcTuO8IbLuVbY8b4p+dAP8nlo9/v1/HI9
PD2Wk0jhh/Jgc/Vs+xXa8ENB0cs5cOPLfE5cPmf97+sO7j668Ky8V/nNK2FHFpWoEDsxTc/XzZSE
QqfHf3jWkzW2Cs6fpPL8897z2NdR8APBsbslVx7NfO/h6XGh/xuj6025EUVKRd4gzn0Ym+UFu5Yf
W3EuSb5G6EWw97KSO5YnnoPIFwV1rPxqadmBF0TWsIAwS9Ecg6a8ZN+3B4kA0ywXJlWik8iXf36/
dZzZnpVZkZ1LkpINIGvzzyUkr5czR8HzUSeAY+WpqHZqOyuwQqq3I1EEM8erywKosmoH8T0aFZsM
+rmEISkr+QqNC5HLWZq3ukxxKCv4emg5BQNsaHqjAhdyTSY0MH7FEblamZZusj8U1pYXofiogvd3
HWSFYc66zmCKK9vg213fxEl+BePllpalA3eeN3FpFy20nN94/1D8GIA8saNmE0zc8rK7lvAL3kOC
glXQ5q5FtMjyh3kLpToUiOMqeIVdK46tASEwO0kKNs2ht1aFSsTAESOruJllaV3BXNAVzAXxNooy
q/UKBkxXxLH8C8OCbwLruF6R9CCNtkVX0nCw77Z8iDxWN3PTef/AubOfIoqHCn6ElIhWJaIPkXC8
Lkvfty6TYPdX1jiMHVGc1hUW+hWMHin/xo5ie57rdzk0VTJ/8htlFP4WUn8FmvkWRG7ezHW7ZWih
7KxwtwQ438elud6qVfOAwwjqJVXTc0Rh4QDwQhWrs57rsSIp7moQbVbgZHuRPdqOFxK8Kf8q723f
j4G3sba2CeugbNkX+ckJhvbRdbwzt+mQTpRv/ecfkrqWtJTVA3YNkbiMzDkqq54HtG/HsV1YUoBt
oFSwsXywZ8Vd5TqYVLbNj4nl5D2XPkXVyFXKb7zfF76B6lryHX4R7Gy2zFsl/aoC+3sb2adku7/a
cXK0t/GEbiswvq9vJa2XbTtF4kAe5WaxtJMW6dX5jUN2si/S9HpMsxt/yo9f9v1bMbgmfzHwbCv6
8A8AAAD//w==</cx:binary>
              </cx:geoCache>
            </cx:geography>
          </cx:layoutPr>
        </cx:series>
        <cx:series layoutId="regionMap" hidden="1" uniqueId="{00000000-FB2E-43DA-AFEB-887D79EF3867}" formatIdx="1">
          <cx:tx>
            <cx:txData>
              <cx:f>_xlchart.v5.5</cx:f>
              <cx:v>Max </cx:v>
            </cx:txData>
          </cx:tx>
          <cx:dataId val="1"/>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series layoutId="regionMap" hidden="1" uniqueId="{00000001-FB2E-43DA-AFEB-887D79EF3867}" formatIdx="0">
          <cx:tx>
            <cx:txData>
              <cx:f>_xlchart.v5.7</cx:f>
              <cx:v>Min</cx:v>
            </cx:txData>
          </cx:tx>
          <cx:dataId val="2"/>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chart" Target="../charts/chart2.xml"/><Relationship Id="rId12" Type="http://schemas.openxmlformats.org/officeDocument/2006/relationships/image" Target="../media/image6.emf"/><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xml"/><Relationship Id="rId11" Type="http://schemas.microsoft.com/office/2014/relationships/chartEx" Target="../charts/chartEx1.xml"/><Relationship Id="rId5" Type="http://schemas.openxmlformats.org/officeDocument/2006/relationships/image" Target="../media/image5.sv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160020</xdr:colOff>
      <xdr:row>4</xdr:row>
      <xdr:rowOff>175260</xdr:rowOff>
    </xdr:from>
    <xdr:to>
      <xdr:col>3</xdr:col>
      <xdr:colOff>335280</xdr:colOff>
      <xdr:row>8</xdr:row>
      <xdr:rowOff>68580</xdr:rowOff>
    </xdr:to>
    <xdr:sp macro="" textlink="">
      <xdr:nvSpPr>
        <xdr:cNvPr id="2" name="Rectangle: Rounded Corners 1">
          <a:extLst>
            <a:ext uri="{FF2B5EF4-FFF2-40B4-BE49-F238E27FC236}">
              <a16:creationId xmlns:a16="http://schemas.microsoft.com/office/drawing/2014/main" id="{021E411D-DA2C-C67B-3ACC-96DEBD531504}"/>
            </a:ext>
          </a:extLst>
        </xdr:cNvPr>
        <xdr:cNvSpPr/>
      </xdr:nvSpPr>
      <xdr:spPr>
        <a:xfrm>
          <a:off x="160020" y="723900"/>
          <a:ext cx="2004060" cy="624840"/>
        </a:xfrm>
        <a:prstGeom prst="roundRect">
          <a:avLst>
            <a:gd name="adj" fmla="val 19590"/>
          </a:avLst>
        </a:prstGeom>
        <a:blipFill>
          <a:blip xmlns:r="http://schemas.openxmlformats.org/officeDocument/2006/relationships" r:embed="rId1"/>
          <a:tile tx="0" ty="0" sx="100000" sy="100000" flip="none" algn="tl"/>
        </a:blipFill>
        <a:ln w="9525">
          <a:solidFill>
            <a:schemeClr val="bg2">
              <a:lumMod val="90000"/>
            </a:schemeClr>
          </a:solidFill>
        </a:ln>
        <a:effectLst>
          <a:outerShdw blurRad="254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3</xdr:col>
      <xdr:colOff>386903</xdr:colOff>
      <xdr:row>4</xdr:row>
      <xdr:rowOff>178372</xdr:rowOff>
    </xdr:from>
    <xdr:to>
      <xdr:col>6</xdr:col>
      <xdr:colOff>562163</xdr:colOff>
      <xdr:row>8</xdr:row>
      <xdr:rowOff>73252</xdr:rowOff>
    </xdr:to>
    <xdr:sp macro="" textlink="">
      <xdr:nvSpPr>
        <xdr:cNvPr id="3" name="Rectangle: Rounded Corners 2">
          <a:extLst>
            <a:ext uri="{FF2B5EF4-FFF2-40B4-BE49-F238E27FC236}">
              <a16:creationId xmlns:a16="http://schemas.microsoft.com/office/drawing/2014/main" id="{6B137BE8-4EED-460E-95D8-C8C28BD02865}"/>
            </a:ext>
          </a:extLst>
        </xdr:cNvPr>
        <xdr:cNvSpPr/>
      </xdr:nvSpPr>
      <xdr:spPr>
        <a:xfrm>
          <a:off x="2222142" y="725724"/>
          <a:ext cx="2010500" cy="624683"/>
        </a:xfrm>
        <a:prstGeom prst="roundRect">
          <a:avLst>
            <a:gd name="adj" fmla="val 18477"/>
          </a:avLst>
        </a:prstGeom>
        <a:blipFill>
          <a:blip xmlns:r="http://schemas.openxmlformats.org/officeDocument/2006/relationships" r:embed="rId1"/>
          <a:tile tx="0" ty="0" sx="100000" sy="100000" flip="none" algn="tl"/>
        </a:blipFill>
        <a:ln w="9525">
          <a:solidFill>
            <a:schemeClr val="bg2">
              <a:lumMod val="90000"/>
            </a:schemeClr>
          </a:solidFill>
        </a:ln>
        <a:effectLst>
          <a:outerShdw blurRad="254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76200</xdr:colOff>
      <xdr:row>4</xdr:row>
      <xdr:rowOff>167640</xdr:rowOff>
    </xdr:from>
    <xdr:to>
      <xdr:col>10</xdr:col>
      <xdr:colOff>251460</xdr:colOff>
      <xdr:row>8</xdr:row>
      <xdr:rowOff>62520</xdr:rowOff>
    </xdr:to>
    <xdr:sp macro="" textlink="">
      <xdr:nvSpPr>
        <xdr:cNvPr id="4" name="Rectangle: Rounded Corners 3">
          <a:extLst>
            <a:ext uri="{FF2B5EF4-FFF2-40B4-BE49-F238E27FC236}">
              <a16:creationId xmlns:a16="http://schemas.microsoft.com/office/drawing/2014/main" id="{FD155BF4-0387-4A06-9328-57A8C1AD42B1}"/>
            </a:ext>
          </a:extLst>
        </xdr:cNvPr>
        <xdr:cNvSpPr/>
      </xdr:nvSpPr>
      <xdr:spPr>
        <a:xfrm>
          <a:off x="4343400" y="716280"/>
          <a:ext cx="2004060" cy="626400"/>
        </a:xfrm>
        <a:prstGeom prst="roundRect">
          <a:avLst>
            <a:gd name="adj" fmla="val 17390"/>
          </a:avLst>
        </a:prstGeom>
        <a:blipFill>
          <a:blip xmlns:r="http://schemas.openxmlformats.org/officeDocument/2006/relationships" r:embed="rId1"/>
          <a:tile tx="0" ty="0" sx="100000" sy="100000" flip="none" algn="tl"/>
        </a:blipFill>
        <a:ln w="9525">
          <a:solidFill>
            <a:schemeClr val="bg2">
              <a:lumMod val="90000"/>
            </a:schemeClr>
          </a:solidFill>
        </a:ln>
        <a:effectLst>
          <a:outerShdw blurRad="254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185615</xdr:colOff>
      <xdr:row>1</xdr:row>
      <xdr:rowOff>60960</xdr:rowOff>
    </xdr:from>
    <xdr:to>
      <xdr:col>13</xdr:col>
      <xdr:colOff>517769</xdr:colOff>
      <xdr:row>4</xdr:row>
      <xdr:rowOff>60960</xdr:rowOff>
    </xdr:to>
    <xdr:sp macro="" textlink="">
      <xdr:nvSpPr>
        <xdr:cNvPr id="5" name="Rectangle: Rounded Corners 4">
          <a:extLst>
            <a:ext uri="{FF2B5EF4-FFF2-40B4-BE49-F238E27FC236}">
              <a16:creationId xmlns:a16="http://schemas.microsoft.com/office/drawing/2014/main" id="{01C59212-EFE1-D590-8362-BE19BABFD6F7}"/>
            </a:ext>
          </a:extLst>
        </xdr:cNvPr>
        <xdr:cNvSpPr/>
      </xdr:nvSpPr>
      <xdr:spPr>
        <a:xfrm>
          <a:off x="185615" y="240877"/>
          <a:ext cx="8311987" cy="539750"/>
        </a:xfrm>
        <a:prstGeom prst="roundRect">
          <a:avLst>
            <a:gd name="adj" fmla="val 18628"/>
          </a:avLst>
        </a:prstGeom>
        <a:blipFill>
          <a:blip xmlns:r="http://schemas.openxmlformats.org/officeDocument/2006/relationships" r:embed="rId1"/>
          <a:tile tx="0" ty="0" sx="100000" sy="100000" flip="none" algn="tl"/>
        </a:blipFill>
        <a:ln w="9525">
          <a:solidFill>
            <a:schemeClr val="tx1">
              <a:lumMod val="50000"/>
              <a:lumOff val="50000"/>
            </a:schemeClr>
          </a:solidFill>
        </a:ln>
        <a:effectLst>
          <a:outerShdw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244425</xdr:colOff>
      <xdr:row>1</xdr:row>
      <xdr:rowOff>70925</xdr:rowOff>
    </xdr:from>
    <xdr:ext cx="5021189" cy="480060"/>
    <xdr:sp macro="" textlink="">
      <xdr:nvSpPr>
        <xdr:cNvPr id="6" name="TextBox 5">
          <a:extLst>
            <a:ext uri="{FF2B5EF4-FFF2-40B4-BE49-F238E27FC236}">
              <a16:creationId xmlns:a16="http://schemas.microsoft.com/office/drawing/2014/main" id="{1C7EA73D-44B7-6A70-4971-54C2A881722B}"/>
            </a:ext>
          </a:extLst>
        </xdr:cNvPr>
        <xdr:cNvSpPr txBox="1"/>
      </xdr:nvSpPr>
      <xdr:spPr>
        <a:xfrm>
          <a:off x="2061502" y="70925"/>
          <a:ext cx="5021189" cy="480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t>SUPERSTORE</a:t>
          </a:r>
          <a:r>
            <a:rPr lang="en-IN" sz="2400" b="1" baseline="0"/>
            <a:t> SALES DASHBOARD</a:t>
          </a:r>
          <a:endParaRPr lang="en-IN" sz="2400" b="1"/>
        </a:p>
      </xdr:txBody>
    </xdr:sp>
    <xdr:clientData/>
  </xdr:oneCellAnchor>
  <xdr:oneCellAnchor>
    <xdr:from>
      <xdr:col>1</xdr:col>
      <xdr:colOff>106799</xdr:colOff>
      <xdr:row>5</xdr:row>
      <xdr:rowOff>0</xdr:rowOff>
    </xdr:from>
    <xdr:ext cx="1184368" cy="264584"/>
    <xdr:sp macro="" textlink="">
      <xdr:nvSpPr>
        <xdr:cNvPr id="7" name="TextBox 6">
          <a:extLst>
            <a:ext uri="{FF2B5EF4-FFF2-40B4-BE49-F238E27FC236}">
              <a16:creationId xmlns:a16="http://schemas.microsoft.com/office/drawing/2014/main" id="{E2833CEE-D813-A48E-4F86-5F143A0E36FA}"/>
            </a:ext>
          </a:extLst>
        </xdr:cNvPr>
        <xdr:cNvSpPr txBox="1"/>
      </xdr:nvSpPr>
      <xdr:spPr>
        <a:xfrm>
          <a:off x="720632" y="899583"/>
          <a:ext cx="1184368" cy="264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0"/>
            <a:t>Total</a:t>
          </a:r>
          <a:r>
            <a:rPr lang="en-IN" sz="1400" b="1"/>
            <a:t> </a:t>
          </a:r>
          <a:r>
            <a:rPr lang="en-IN" sz="1400" b="0"/>
            <a:t>Sales</a:t>
          </a:r>
        </a:p>
      </xdr:txBody>
    </xdr:sp>
    <xdr:clientData/>
  </xdr:oneCellAnchor>
  <xdr:oneCellAnchor>
    <xdr:from>
      <xdr:col>4</xdr:col>
      <xdr:colOff>206814</xdr:colOff>
      <xdr:row>4</xdr:row>
      <xdr:rowOff>141667</xdr:rowOff>
    </xdr:from>
    <xdr:ext cx="1219200" cy="311496"/>
    <xdr:sp macro="" textlink="">
      <xdr:nvSpPr>
        <xdr:cNvPr id="8" name="TextBox 7">
          <a:extLst>
            <a:ext uri="{FF2B5EF4-FFF2-40B4-BE49-F238E27FC236}">
              <a16:creationId xmlns:a16="http://schemas.microsoft.com/office/drawing/2014/main" id="{183D2D95-EBAD-B4BC-3199-F744A3BB9AEF}"/>
            </a:ext>
          </a:extLst>
        </xdr:cNvPr>
        <xdr:cNvSpPr txBox="1"/>
      </xdr:nvSpPr>
      <xdr:spPr>
        <a:xfrm>
          <a:off x="2653800" y="689019"/>
          <a:ext cx="12192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0"/>
            <a:t>Total</a:t>
          </a:r>
          <a:r>
            <a:rPr lang="en-IN" sz="1400" b="1"/>
            <a:t> </a:t>
          </a:r>
          <a:r>
            <a:rPr lang="en-IN" sz="1400" b="0"/>
            <a:t>profit</a:t>
          </a:r>
        </a:p>
      </xdr:txBody>
    </xdr:sp>
    <xdr:clientData/>
  </xdr:oneCellAnchor>
  <xdr:oneCellAnchor>
    <xdr:from>
      <xdr:col>7</xdr:col>
      <xdr:colOff>432623</xdr:colOff>
      <xdr:row>4</xdr:row>
      <xdr:rowOff>120203</xdr:rowOff>
    </xdr:from>
    <xdr:ext cx="1440180" cy="342851"/>
    <xdr:sp macro="" textlink="">
      <xdr:nvSpPr>
        <xdr:cNvPr id="9" name="TextBox 8">
          <a:extLst>
            <a:ext uri="{FF2B5EF4-FFF2-40B4-BE49-F238E27FC236}">
              <a16:creationId xmlns:a16="http://schemas.microsoft.com/office/drawing/2014/main" id="{FA50412A-DE4C-9B0A-3898-445071261C84}"/>
            </a:ext>
          </a:extLst>
        </xdr:cNvPr>
        <xdr:cNvSpPr txBox="1"/>
      </xdr:nvSpPr>
      <xdr:spPr>
        <a:xfrm>
          <a:off x="4714848" y="667555"/>
          <a:ext cx="144018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0"/>
            <a:t>Total</a:t>
          </a:r>
          <a:r>
            <a:rPr lang="en-IN" sz="1600" b="1"/>
            <a:t> </a:t>
          </a:r>
          <a:r>
            <a:rPr lang="en-IN" sz="1600" b="0"/>
            <a:t>Quantity</a:t>
          </a:r>
        </a:p>
      </xdr:txBody>
    </xdr:sp>
    <xdr:clientData/>
  </xdr:oneCellAnchor>
  <xdr:oneCellAnchor>
    <xdr:from>
      <xdr:col>0</xdr:col>
      <xdr:colOff>433917</xdr:colOff>
      <xdr:row>6</xdr:row>
      <xdr:rowOff>38100</xdr:rowOff>
    </xdr:from>
    <xdr:ext cx="1658899" cy="374077"/>
    <xdr:sp macro="" textlink="'Sample - Superstore'!F5">
      <xdr:nvSpPr>
        <xdr:cNvPr id="10" name="TextBox 9">
          <a:extLst>
            <a:ext uri="{FF2B5EF4-FFF2-40B4-BE49-F238E27FC236}">
              <a16:creationId xmlns:a16="http://schemas.microsoft.com/office/drawing/2014/main" id="{982BDD14-618A-908D-9F64-19D23A852C04}"/>
            </a:ext>
          </a:extLst>
        </xdr:cNvPr>
        <xdr:cNvSpPr txBox="1"/>
      </xdr:nvSpPr>
      <xdr:spPr>
        <a:xfrm>
          <a:off x="433917" y="1117600"/>
          <a:ext cx="165889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045D809-C5D8-4BE3-8AE8-C1FC8D098A15}" type="TxLink">
            <a:rPr lang="en-US" sz="1800" b="1" i="0" u="none" strike="noStrike">
              <a:solidFill>
                <a:srgbClr val="000000"/>
              </a:solidFill>
              <a:latin typeface="Aptos Narrow"/>
            </a:rPr>
            <a:pPr/>
            <a:t> ₹ 1,68,451.85 </a:t>
          </a:fld>
          <a:endParaRPr lang="en-IN" sz="1800" b="1"/>
        </a:p>
      </xdr:txBody>
    </xdr:sp>
    <xdr:clientData/>
  </xdr:oneCellAnchor>
  <xdr:oneCellAnchor>
    <xdr:from>
      <xdr:col>4</xdr:col>
      <xdr:colOff>121919</xdr:colOff>
      <xdr:row>6</xdr:row>
      <xdr:rowOff>22860</xdr:rowOff>
    </xdr:from>
    <xdr:ext cx="1369883" cy="374077"/>
    <xdr:sp macro="" textlink="'Sample - Superstore'!G5">
      <xdr:nvSpPr>
        <xdr:cNvPr id="11" name="TextBox 10">
          <a:extLst>
            <a:ext uri="{FF2B5EF4-FFF2-40B4-BE49-F238E27FC236}">
              <a16:creationId xmlns:a16="http://schemas.microsoft.com/office/drawing/2014/main" id="{0B74F9C5-F9AA-5917-11DB-A61ECAACA27E}"/>
            </a:ext>
          </a:extLst>
        </xdr:cNvPr>
        <xdr:cNvSpPr txBox="1"/>
      </xdr:nvSpPr>
      <xdr:spPr>
        <a:xfrm>
          <a:off x="2568905" y="935114"/>
          <a:ext cx="136988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4063201-9C1B-467E-8608-02BA92D4FE0B}" type="TxLink">
            <a:rPr lang="en-US" sz="1800" b="1" i="0" u="none" strike="noStrike">
              <a:solidFill>
                <a:srgbClr val="000000"/>
              </a:solidFill>
              <a:latin typeface="Aptos Narrow"/>
            </a:rPr>
            <a:pPr/>
            <a:t> ₹ 14,634.74 </a:t>
          </a:fld>
          <a:endParaRPr lang="en-IN" sz="1800" b="1"/>
        </a:p>
      </xdr:txBody>
    </xdr:sp>
    <xdr:clientData/>
  </xdr:oneCellAnchor>
  <xdr:oneCellAnchor>
    <xdr:from>
      <xdr:col>8</xdr:col>
      <xdr:colOff>153579</xdr:colOff>
      <xdr:row>6</xdr:row>
      <xdr:rowOff>22539</xdr:rowOff>
    </xdr:from>
    <xdr:ext cx="1112520" cy="374077"/>
    <xdr:sp macro="" textlink="'Sample - Superstore'!H5">
      <xdr:nvSpPr>
        <xdr:cNvPr id="12" name="TextBox 11">
          <a:extLst>
            <a:ext uri="{FF2B5EF4-FFF2-40B4-BE49-F238E27FC236}">
              <a16:creationId xmlns:a16="http://schemas.microsoft.com/office/drawing/2014/main" id="{273C4398-34F2-6903-161B-700E3184801F}"/>
            </a:ext>
          </a:extLst>
        </xdr:cNvPr>
        <xdr:cNvSpPr txBox="1"/>
      </xdr:nvSpPr>
      <xdr:spPr>
        <a:xfrm>
          <a:off x="5047551" y="934793"/>
          <a:ext cx="111252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7AD2B49-710C-4127-8955-BEBC45AC7437}" type="TxLink">
            <a:rPr lang="en-US" sz="1800" b="1" i="0" u="none" strike="noStrike">
              <a:solidFill>
                <a:srgbClr val="000000"/>
              </a:solidFill>
              <a:latin typeface="Aptos Narrow"/>
            </a:rPr>
            <a:pPr/>
            <a:t>2877</a:t>
          </a:fld>
          <a:endParaRPr lang="en-IN" sz="1800" b="1"/>
        </a:p>
      </xdr:txBody>
    </xdr:sp>
    <xdr:clientData/>
  </xdr:oneCellAnchor>
  <xdr:twoCellAnchor editAs="oneCell">
    <xdr:from>
      <xdr:col>3</xdr:col>
      <xdr:colOff>525780</xdr:colOff>
      <xdr:row>6</xdr:row>
      <xdr:rowOff>83820</xdr:rowOff>
    </xdr:from>
    <xdr:to>
      <xdr:col>4</xdr:col>
      <xdr:colOff>160020</xdr:colOff>
      <xdr:row>7</xdr:row>
      <xdr:rowOff>144780</xdr:rowOff>
    </xdr:to>
    <xdr:pic>
      <xdr:nvPicPr>
        <xdr:cNvPr id="17" name="Graphic 16" descr="Bar graph with upward trend with solid fill">
          <a:extLst>
            <a:ext uri="{FF2B5EF4-FFF2-40B4-BE49-F238E27FC236}">
              <a16:creationId xmlns:a16="http://schemas.microsoft.com/office/drawing/2014/main" id="{BD071BDE-2477-085D-344B-CC97F66C4B7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54580" y="998220"/>
          <a:ext cx="243840" cy="243840"/>
        </a:xfrm>
        <a:prstGeom prst="rect">
          <a:avLst/>
        </a:prstGeom>
      </xdr:spPr>
    </xdr:pic>
    <xdr:clientData/>
  </xdr:twoCellAnchor>
  <xdr:twoCellAnchor editAs="oneCell">
    <xdr:from>
      <xdr:col>7</xdr:col>
      <xdr:colOff>365760</xdr:colOff>
      <xdr:row>6</xdr:row>
      <xdr:rowOff>45720</xdr:rowOff>
    </xdr:from>
    <xdr:to>
      <xdr:col>8</xdr:col>
      <xdr:colOff>38099</xdr:colOff>
      <xdr:row>7</xdr:row>
      <xdr:rowOff>144780</xdr:rowOff>
    </xdr:to>
    <xdr:pic>
      <xdr:nvPicPr>
        <xdr:cNvPr id="21" name="Graphic 20" descr="Coins with solid fill">
          <a:extLst>
            <a:ext uri="{FF2B5EF4-FFF2-40B4-BE49-F238E27FC236}">
              <a16:creationId xmlns:a16="http://schemas.microsoft.com/office/drawing/2014/main" id="{2C84C0A0-A007-B03F-9A36-509EB8CA9FB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32960" y="960120"/>
          <a:ext cx="281940" cy="281940"/>
        </a:xfrm>
        <a:prstGeom prst="rect">
          <a:avLst/>
        </a:prstGeom>
      </xdr:spPr>
    </xdr:pic>
    <xdr:clientData/>
  </xdr:twoCellAnchor>
  <xdr:twoCellAnchor>
    <xdr:from>
      <xdr:col>0</xdr:col>
      <xdr:colOff>138605</xdr:colOff>
      <xdr:row>8</xdr:row>
      <xdr:rowOff>175260</xdr:rowOff>
    </xdr:from>
    <xdr:to>
      <xdr:col>7</xdr:col>
      <xdr:colOff>464527</xdr:colOff>
      <xdr:row>22</xdr:row>
      <xdr:rowOff>7620</xdr:rowOff>
    </xdr:to>
    <xdr:sp macro="" textlink="">
      <xdr:nvSpPr>
        <xdr:cNvPr id="22" name="Rectangle: Rounded Corners 21">
          <a:extLst>
            <a:ext uri="{FF2B5EF4-FFF2-40B4-BE49-F238E27FC236}">
              <a16:creationId xmlns:a16="http://schemas.microsoft.com/office/drawing/2014/main" id="{64DED9A6-D735-845C-55B0-A1975CCE7663}"/>
            </a:ext>
          </a:extLst>
        </xdr:cNvPr>
        <xdr:cNvSpPr/>
      </xdr:nvSpPr>
      <xdr:spPr>
        <a:xfrm>
          <a:off x="138605" y="1434677"/>
          <a:ext cx="4622755" cy="2351193"/>
        </a:xfrm>
        <a:prstGeom prst="roundRect">
          <a:avLst>
            <a:gd name="adj" fmla="val 1284"/>
          </a:avLst>
        </a:prstGeom>
        <a:solidFill>
          <a:schemeClr val="bg1">
            <a:lumMod val="95000"/>
          </a:schemeClr>
        </a:solidFill>
        <a:ln w="9525">
          <a:solidFill>
            <a:schemeClr val="bg2">
              <a:lumMod val="90000"/>
            </a:schemeClr>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401069</xdr:colOff>
      <xdr:row>8</xdr:row>
      <xdr:rowOff>118057</xdr:rowOff>
    </xdr:from>
    <xdr:ext cx="2625467" cy="374077"/>
    <xdr:sp macro="" textlink="">
      <xdr:nvSpPr>
        <xdr:cNvPr id="24" name="TextBox 23">
          <a:extLst>
            <a:ext uri="{FF2B5EF4-FFF2-40B4-BE49-F238E27FC236}">
              <a16:creationId xmlns:a16="http://schemas.microsoft.com/office/drawing/2014/main" id="{8F8AC863-9DDA-B15D-10CC-EEA0C8B20B36}"/>
            </a:ext>
          </a:extLst>
        </xdr:cNvPr>
        <xdr:cNvSpPr txBox="1"/>
      </xdr:nvSpPr>
      <xdr:spPr>
        <a:xfrm>
          <a:off x="1012815" y="1395212"/>
          <a:ext cx="2625467"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t>Sales</a:t>
          </a:r>
          <a:r>
            <a:rPr lang="en-IN" sz="1800" b="1" baseline="0"/>
            <a:t> &amp; Profit By Category</a:t>
          </a:r>
          <a:endParaRPr lang="en-IN" sz="1800" b="1"/>
        </a:p>
      </xdr:txBody>
    </xdr:sp>
    <xdr:clientData/>
  </xdr:oneCellAnchor>
  <xdr:twoCellAnchor>
    <xdr:from>
      <xdr:col>7</xdr:col>
      <xdr:colOff>604261</xdr:colOff>
      <xdr:row>8</xdr:row>
      <xdr:rowOff>166722</xdr:rowOff>
    </xdr:from>
    <xdr:to>
      <xdr:col>17</xdr:col>
      <xdr:colOff>463499</xdr:colOff>
      <xdr:row>21</xdr:row>
      <xdr:rowOff>177315</xdr:rowOff>
    </xdr:to>
    <xdr:sp macro="" textlink="">
      <xdr:nvSpPr>
        <xdr:cNvPr id="29" name="Rectangle: Rounded Corners 28">
          <a:extLst>
            <a:ext uri="{FF2B5EF4-FFF2-40B4-BE49-F238E27FC236}">
              <a16:creationId xmlns:a16="http://schemas.microsoft.com/office/drawing/2014/main" id="{41901977-704A-46EB-B2EB-C13155304ECB}"/>
            </a:ext>
          </a:extLst>
        </xdr:cNvPr>
        <xdr:cNvSpPr/>
      </xdr:nvSpPr>
      <xdr:spPr>
        <a:xfrm>
          <a:off x="4901094" y="1426139"/>
          <a:ext cx="5997572" cy="2349509"/>
        </a:xfrm>
        <a:prstGeom prst="roundRect">
          <a:avLst>
            <a:gd name="adj" fmla="val 1732"/>
          </a:avLst>
        </a:prstGeom>
        <a:solidFill>
          <a:schemeClr val="bg1">
            <a:lumMod val="95000"/>
          </a:schemeClr>
        </a:solidFill>
        <a:ln w="9525">
          <a:solidFill>
            <a:schemeClr val="bg2">
              <a:lumMod val="90000"/>
            </a:schemeClr>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361360</xdr:colOff>
      <xdr:row>4</xdr:row>
      <xdr:rowOff>167876</xdr:rowOff>
    </xdr:from>
    <xdr:to>
      <xdr:col>17</xdr:col>
      <xdr:colOff>130098</xdr:colOff>
      <xdr:row>8</xdr:row>
      <xdr:rowOff>62756</xdr:rowOff>
    </xdr:to>
    <xdr:sp macro="" textlink="">
      <xdr:nvSpPr>
        <xdr:cNvPr id="30" name="Rectangle: Rounded Corners 29">
          <a:extLst>
            <a:ext uri="{FF2B5EF4-FFF2-40B4-BE49-F238E27FC236}">
              <a16:creationId xmlns:a16="http://schemas.microsoft.com/office/drawing/2014/main" id="{7C108071-E621-4782-AE46-C01C6BAEB346}"/>
            </a:ext>
          </a:extLst>
        </xdr:cNvPr>
        <xdr:cNvSpPr/>
      </xdr:nvSpPr>
      <xdr:spPr>
        <a:xfrm>
          <a:off x="6494531" y="725437"/>
          <a:ext cx="4061957" cy="638295"/>
        </a:xfrm>
        <a:prstGeom prst="roundRect">
          <a:avLst>
            <a:gd name="adj" fmla="val 17390"/>
          </a:avLst>
        </a:prstGeom>
        <a:noFill/>
        <a:ln w="9525">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386366</xdr:colOff>
      <xdr:row>10</xdr:row>
      <xdr:rowOff>109955</xdr:rowOff>
    </xdr:from>
    <xdr:to>
      <xdr:col>12</xdr:col>
      <xdr:colOff>300506</xdr:colOff>
      <xdr:row>21</xdr:row>
      <xdr:rowOff>172873</xdr:rowOff>
    </xdr:to>
    <xdr:graphicFrame macro="">
      <xdr:nvGraphicFramePr>
        <xdr:cNvPr id="14" name="Chart 13">
          <a:extLst>
            <a:ext uri="{FF2B5EF4-FFF2-40B4-BE49-F238E27FC236}">
              <a16:creationId xmlns:a16="http://schemas.microsoft.com/office/drawing/2014/main" id="{AF8A1B6A-ABA1-48C9-9FD6-242E0F3AF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369966</xdr:colOff>
      <xdr:row>8</xdr:row>
      <xdr:rowOff>150253</xdr:rowOff>
    </xdr:from>
    <xdr:to>
      <xdr:col>12</xdr:col>
      <xdr:colOff>369966</xdr:colOff>
      <xdr:row>21</xdr:row>
      <xdr:rowOff>163354</xdr:rowOff>
    </xdr:to>
    <xdr:cxnSp macro="">
      <xdr:nvCxnSpPr>
        <xdr:cNvPr id="18" name="Straight Connector 17">
          <a:extLst>
            <a:ext uri="{FF2B5EF4-FFF2-40B4-BE49-F238E27FC236}">
              <a16:creationId xmlns:a16="http://schemas.microsoft.com/office/drawing/2014/main" id="{013A97D4-2F86-8A23-783D-4172F8C981A9}"/>
            </a:ext>
          </a:extLst>
        </xdr:cNvPr>
        <xdr:cNvCxnSpPr/>
      </xdr:nvCxnSpPr>
      <xdr:spPr>
        <a:xfrm>
          <a:off x="7710924" y="1427408"/>
          <a:ext cx="0" cy="2384960"/>
        </a:xfrm>
        <a:prstGeom prst="line">
          <a:avLst/>
        </a:prstGeom>
        <a:ln w="9525">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236114</xdr:colOff>
      <xdr:row>10</xdr:row>
      <xdr:rowOff>88225</xdr:rowOff>
    </xdr:from>
    <xdr:to>
      <xdr:col>9</xdr:col>
      <xdr:colOff>52678</xdr:colOff>
      <xdr:row>21</xdr:row>
      <xdr:rowOff>126325</xdr:rowOff>
    </xdr:to>
    <xdr:graphicFrame macro="">
      <xdr:nvGraphicFramePr>
        <xdr:cNvPr id="33" name="Chart 32">
          <a:extLst>
            <a:ext uri="{FF2B5EF4-FFF2-40B4-BE49-F238E27FC236}">
              <a16:creationId xmlns:a16="http://schemas.microsoft.com/office/drawing/2014/main" id="{BE2C7640-3869-4AC6-968A-95BEB3E85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90630</xdr:colOff>
      <xdr:row>10</xdr:row>
      <xdr:rowOff>65852</xdr:rowOff>
    </xdr:from>
    <xdr:to>
      <xdr:col>18</xdr:col>
      <xdr:colOff>250297</xdr:colOff>
      <xdr:row>21</xdr:row>
      <xdr:rowOff>170745</xdr:rowOff>
    </xdr:to>
    <xdr:graphicFrame macro="">
      <xdr:nvGraphicFramePr>
        <xdr:cNvPr id="34" name="Chart 33">
          <a:extLst>
            <a:ext uri="{FF2B5EF4-FFF2-40B4-BE49-F238E27FC236}">
              <a16:creationId xmlns:a16="http://schemas.microsoft.com/office/drawing/2014/main" id="{CDA61031-6F1F-4CA9-9E38-07437908B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8</xdr:col>
      <xdr:colOff>384365</xdr:colOff>
      <xdr:row>8</xdr:row>
      <xdr:rowOff>139522</xdr:rowOff>
    </xdr:from>
    <xdr:ext cx="1933831" cy="345016"/>
    <xdr:sp macro="" textlink="">
      <xdr:nvSpPr>
        <xdr:cNvPr id="35" name="TextBox 34">
          <a:extLst>
            <a:ext uri="{FF2B5EF4-FFF2-40B4-BE49-F238E27FC236}">
              <a16:creationId xmlns:a16="http://schemas.microsoft.com/office/drawing/2014/main" id="{491EFB6A-481E-52CB-4735-3C8A9BC325F4}"/>
            </a:ext>
          </a:extLst>
        </xdr:cNvPr>
        <xdr:cNvSpPr txBox="1"/>
      </xdr:nvSpPr>
      <xdr:spPr>
        <a:xfrm>
          <a:off x="5278337" y="1416677"/>
          <a:ext cx="1933831" cy="3450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Sales By Region</a:t>
          </a:r>
        </a:p>
        <a:p>
          <a:endParaRPr lang="en-IN" sz="1100"/>
        </a:p>
      </xdr:txBody>
    </xdr:sp>
    <xdr:clientData/>
  </xdr:oneCellAnchor>
  <xdr:oneCellAnchor>
    <xdr:from>
      <xdr:col>12</xdr:col>
      <xdr:colOff>492644</xdr:colOff>
      <xdr:row>8</xdr:row>
      <xdr:rowOff>160986</xdr:rowOff>
    </xdr:from>
    <xdr:ext cx="1932878" cy="353192"/>
    <xdr:sp macro="" textlink="">
      <xdr:nvSpPr>
        <xdr:cNvPr id="36" name="TextBox 35">
          <a:extLst>
            <a:ext uri="{FF2B5EF4-FFF2-40B4-BE49-F238E27FC236}">
              <a16:creationId xmlns:a16="http://schemas.microsoft.com/office/drawing/2014/main" id="{F1E29735-84FA-41BE-918C-648079128122}"/>
            </a:ext>
          </a:extLst>
        </xdr:cNvPr>
        <xdr:cNvSpPr txBox="1"/>
      </xdr:nvSpPr>
      <xdr:spPr>
        <a:xfrm>
          <a:off x="7833602" y="1438141"/>
          <a:ext cx="1932878" cy="353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Sales By Segment</a:t>
          </a:r>
        </a:p>
        <a:p>
          <a:endParaRPr lang="en-IN" sz="1100" b="1"/>
        </a:p>
      </xdr:txBody>
    </xdr:sp>
    <xdr:clientData/>
  </xdr:oneCellAnchor>
  <xdr:twoCellAnchor>
    <xdr:from>
      <xdr:col>14</xdr:col>
      <xdr:colOff>9768</xdr:colOff>
      <xdr:row>1</xdr:row>
      <xdr:rowOff>101636</xdr:rowOff>
    </xdr:from>
    <xdr:to>
      <xdr:col>24</xdr:col>
      <xdr:colOff>29308</xdr:colOff>
      <xdr:row>4</xdr:row>
      <xdr:rowOff>93781</xdr:rowOff>
    </xdr:to>
    <xdr:sp macro="" textlink="">
      <xdr:nvSpPr>
        <xdr:cNvPr id="50" name="Rectangle: Rounded Corners 49">
          <a:extLst>
            <a:ext uri="{FF2B5EF4-FFF2-40B4-BE49-F238E27FC236}">
              <a16:creationId xmlns:a16="http://schemas.microsoft.com/office/drawing/2014/main" id="{0676D0CE-BFC3-33AD-B36E-BFDA01719212}"/>
            </a:ext>
          </a:extLst>
        </xdr:cNvPr>
        <xdr:cNvSpPr/>
      </xdr:nvSpPr>
      <xdr:spPr>
        <a:xfrm>
          <a:off x="8603435" y="281553"/>
          <a:ext cx="6157873" cy="531895"/>
        </a:xfrm>
        <a:prstGeom prst="roundRect">
          <a:avLst>
            <a:gd name="adj" fmla="val 22144"/>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268941</xdr:colOff>
      <xdr:row>23</xdr:row>
      <xdr:rowOff>35857</xdr:rowOff>
    </xdr:from>
    <xdr:ext cx="1954306" cy="242047"/>
    <xdr:sp macro="" textlink="">
      <xdr:nvSpPr>
        <xdr:cNvPr id="51" name="TextBox 50">
          <a:extLst>
            <a:ext uri="{FF2B5EF4-FFF2-40B4-BE49-F238E27FC236}">
              <a16:creationId xmlns:a16="http://schemas.microsoft.com/office/drawing/2014/main" id="{033E57FE-E5BB-57C4-9ACB-470F213CE27E}"/>
            </a:ext>
          </a:extLst>
        </xdr:cNvPr>
        <xdr:cNvSpPr txBox="1"/>
      </xdr:nvSpPr>
      <xdr:spPr>
        <a:xfrm>
          <a:off x="878541" y="3980328"/>
          <a:ext cx="1954306" cy="242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170792</xdr:colOff>
      <xdr:row>22</xdr:row>
      <xdr:rowOff>132952</xdr:rowOff>
    </xdr:from>
    <xdr:to>
      <xdr:col>7</xdr:col>
      <xdr:colOff>525517</xdr:colOff>
      <xdr:row>38</xdr:row>
      <xdr:rowOff>75127</xdr:rowOff>
    </xdr:to>
    <xdr:sp macro="" textlink="">
      <xdr:nvSpPr>
        <xdr:cNvPr id="55" name="Rectangle: Rounded Corners 54">
          <a:extLst>
            <a:ext uri="{FF2B5EF4-FFF2-40B4-BE49-F238E27FC236}">
              <a16:creationId xmlns:a16="http://schemas.microsoft.com/office/drawing/2014/main" id="{7DB878DA-0A39-4445-85FE-A828FD185250}"/>
            </a:ext>
          </a:extLst>
        </xdr:cNvPr>
        <xdr:cNvSpPr/>
      </xdr:nvSpPr>
      <xdr:spPr>
        <a:xfrm>
          <a:off x="170792" y="3911202"/>
          <a:ext cx="4651558" cy="2820842"/>
        </a:xfrm>
        <a:prstGeom prst="roundRect">
          <a:avLst>
            <a:gd name="adj" fmla="val 2259"/>
          </a:avLst>
        </a:prstGeom>
        <a:solidFill>
          <a:schemeClr val="bg1">
            <a:lumMod val="95000"/>
          </a:schemeClr>
        </a:solidFill>
        <a:ln w="9525">
          <a:solidFill>
            <a:schemeClr val="bg2">
              <a:lumMod val="90000"/>
            </a:schemeClr>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592230</xdr:colOff>
      <xdr:row>23</xdr:row>
      <xdr:rowOff>44047</xdr:rowOff>
    </xdr:from>
    <xdr:ext cx="2035356" cy="374077"/>
    <xdr:sp macro="" textlink="">
      <xdr:nvSpPr>
        <xdr:cNvPr id="56" name="TextBox 55">
          <a:extLst>
            <a:ext uri="{FF2B5EF4-FFF2-40B4-BE49-F238E27FC236}">
              <a16:creationId xmlns:a16="http://schemas.microsoft.com/office/drawing/2014/main" id="{9FA25C34-7A2D-D21C-4200-0B9433FADF89}"/>
            </a:ext>
          </a:extLst>
        </xdr:cNvPr>
        <xdr:cNvSpPr txBox="1"/>
      </xdr:nvSpPr>
      <xdr:spPr>
        <a:xfrm>
          <a:off x="1203976" y="4057962"/>
          <a:ext cx="203535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t>Sales By Ship Mode</a:t>
          </a:r>
        </a:p>
      </xdr:txBody>
    </xdr:sp>
    <xdr:clientData/>
  </xdr:oneCellAnchor>
  <xdr:twoCellAnchor>
    <xdr:from>
      <xdr:col>0</xdr:col>
      <xdr:colOff>275166</xdr:colOff>
      <xdr:row>23</xdr:row>
      <xdr:rowOff>10583</xdr:rowOff>
    </xdr:from>
    <xdr:to>
      <xdr:col>7</xdr:col>
      <xdr:colOff>470856</xdr:colOff>
      <xdr:row>37</xdr:row>
      <xdr:rowOff>137583</xdr:rowOff>
    </xdr:to>
    <xdr:graphicFrame macro="">
      <xdr:nvGraphicFramePr>
        <xdr:cNvPr id="57" name="Chart 56">
          <a:extLst>
            <a:ext uri="{FF2B5EF4-FFF2-40B4-BE49-F238E27FC236}">
              <a16:creationId xmlns:a16="http://schemas.microsoft.com/office/drawing/2014/main" id="{66E9119C-ACB9-4F30-8092-DEDDF9965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382429</xdr:colOff>
      <xdr:row>5</xdr:row>
      <xdr:rowOff>19537</xdr:rowOff>
    </xdr:from>
    <xdr:to>
      <xdr:col>16</xdr:col>
      <xdr:colOff>410307</xdr:colOff>
      <xdr:row>8</xdr:row>
      <xdr:rowOff>74084</xdr:rowOff>
    </xdr:to>
    <xdr:sp macro="" textlink="">
      <xdr:nvSpPr>
        <xdr:cNvPr id="60" name="Rectangle: Rounded Corners 59">
          <a:extLst>
            <a:ext uri="{FF2B5EF4-FFF2-40B4-BE49-F238E27FC236}">
              <a16:creationId xmlns:a16="http://schemas.microsoft.com/office/drawing/2014/main" id="{4EF682E5-F7BF-47A0-A73A-BE76553AA1A8}"/>
            </a:ext>
          </a:extLst>
        </xdr:cNvPr>
        <xdr:cNvSpPr/>
      </xdr:nvSpPr>
      <xdr:spPr>
        <a:xfrm>
          <a:off x="6520762" y="919120"/>
          <a:ext cx="3710878" cy="594297"/>
        </a:xfrm>
        <a:prstGeom prst="roundRect">
          <a:avLst>
            <a:gd name="adj" fmla="val 15893"/>
          </a:avLst>
        </a:prstGeom>
        <a:solidFill>
          <a:schemeClr val="bg1">
            <a:lumMod val="9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479349</xdr:colOff>
      <xdr:row>5</xdr:row>
      <xdr:rowOff>122094</xdr:rowOff>
    </xdr:from>
    <xdr:to>
      <xdr:col>16</xdr:col>
      <xdr:colOff>285751</xdr:colOff>
      <xdr:row>8</xdr:row>
      <xdr:rowOff>10583</xdr:rowOff>
    </xdr:to>
    <mc:AlternateContent xmlns:mc="http://schemas.openxmlformats.org/markup-compatibility/2006" xmlns:a14="http://schemas.microsoft.com/office/drawing/2010/main">
      <mc:Choice Requires="a14">
        <xdr:graphicFrame macro="">
          <xdr:nvGraphicFramePr>
            <xdr:cNvPr id="61" name="Region">
              <a:extLst>
                <a:ext uri="{FF2B5EF4-FFF2-40B4-BE49-F238E27FC236}">
                  <a16:creationId xmlns:a16="http://schemas.microsoft.com/office/drawing/2014/main" id="{330828B0-9663-43A8-BC1E-772FB3646C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17682" y="841762"/>
              <a:ext cx="3489402" cy="397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381816</xdr:colOff>
      <xdr:row>1</xdr:row>
      <xdr:rowOff>128471</xdr:rowOff>
    </xdr:from>
    <xdr:to>
      <xdr:col>23</xdr:col>
      <xdr:colOff>303661</xdr:colOff>
      <xdr:row>4</xdr:row>
      <xdr:rowOff>22162</xdr:rowOff>
    </xdr:to>
    <mc:AlternateContent xmlns:mc="http://schemas.openxmlformats.org/markup-compatibility/2006" xmlns:a14="http://schemas.microsoft.com/office/drawing/2010/main">
      <mc:Choice Requires="a14">
        <xdr:graphicFrame macro="">
          <xdr:nvGraphicFramePr>
            <xdr:cNvPr id="62" name="Category">
              <a:extLst>
                <a:ext uri="{FF2B5EF4-FFF2-40B4-BE49-F238E27FC236}">
                  <a16:creationId xmlns:a16="http://schemas.microsoft.com/office/drawing/2014/main" id="{0CF6AC0A-52B0-4185-ADD2-959F068BD8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975483" y="128471"/>
              <a:ext cx="5446345" cy="433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127788</xdr:colOff>
      <xdr:row>38</xdr:row>
      <xdr:rowOff>165484</xdr:rowOff>
    </xdr:from>
    <xdr:to>
      <xdr:col>17</xdr:col>
      <xdr:colOff>560991</xdr:colOff>
      <xdr:row>54</xdr:row>
      <xdr:rowOff>20275</xdr:rowOff>
    </xdr:to>
    <xdr:sp macro="" textlink="">
      <xdr:nvSpPr>
        <xdr:cNvPr id="67" name="Rectangle: Rounded Corners 66">
          <a:extLst>
            <a:ext uri="{FF2B5EF4-FFF2-40B4-BE49-F238E27FC236}">
              <a16:creationId xmlns:a16="http://schemas.microsoft.com/office/drawing/2014/main" id="{293AC313-14FA-445A-98F4-8662340B6303}"/>
            </a:ext>
          </a:extLst>
        </xdr:cNvPr>
        <xdr:cNvSpPr/>
      </xdr:nvSpPr>
      <xdr:spPr>
        <a:xfrm>
          <a:off x="127788" y="7002317"/>
          <a:ext cx="10868370" cy="2733458"/>
        </a:xfrm>
        <a:prstGeom prst="roundRect">
          <a:avLst>
            <a:gd name="adj" fmla="val 2562"/>
          </a:avLst>
        </a:prstGeom>
        <a:solidFill>
          <a:schemeClr val="bg1">
            <a:lumMod val="95000"/>
          </a:schemeClr>
        </a:solidFill>
        <a:ln w="9525">
          <a:solidFill>
            <a:schemeClr val="bg2">
              <a:lumMod val="90000"/>
            </a:schemeClr>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300385</xdr:colOff>
      <xdr:row>38</xdr:row>
      <xdr:rowOff>7837</xdr:rowOff>
    </xdr:from>
    <xdr:to>
      <xdr:col>8</xdr:col>
      <xdr:colOff>152721</xdr:colOff>
      <xdr:row>54</xdr:row>
      <xdr:rowOff>0</xdr:rowOff>
    </xdr:to>
    <xdr:graphicFrame macro="">
      <xdr:nvGraphicFramePr>
        <xdr:cNvPr id="68" name="Chart 67">
          <a:extLst>
            <a:ext uri="{FF2B5EF4-FFF2-40B4-BE49-F238E27FC236}">
              <a16:creationId xmlns:a16="http://schemas.microsoft.com/office/drawing/2014/main" id="{CB8C72F6-CFC6-4246-BEDF-65CA6AD3D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571500</xdr:colOff>
      <xdr:row>39</xdr:row>
      <xdr:rowOff>75217</xdr:rowOff>
    </xdr:from>
    <xdr:to>
      <xdr:col>7</xdr:col>
      <xdr:colOff>577532</xdr:colOff>
      <xdr:row>54</xdr:row>
      <xdr:rowOff>0</xdr:rowOff>
    </xdr:to>
    <xdr:cxnSp macro="">
      <xdr:nvCxnSpPr>
        <xdr:cNvPr id="75" name="Straight Connector 74">
          <a:extLst>
            <a:ext uri="{FF2B5EF4-FFF2-40B4-BE49-F238E27FC236}">
              <a16:creationId xmlns:a16="http://schemas.microsoft.com/office/drawing/2014/main" id="{5BBE2182-CBE9-FD8F-84AD-929C9EA5A848}"/>
            </a:ext>
          </a:extLst>
        </xdr:cNvPr>
        <xdr:cNvCxnSpPr/>
      </xdr:nvCxnSpPr>
      <xdr:spPr>
        <a:xfrm flipH="1">
          <a:off x="4868333" y="6912050"/>
          <a:ext cx="6032" cy="26235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591608</xdr:colOff>
      <xdr:row>8</xdr:row>
      <xdr:rowOff>160986</xdr:rowOff>
    </xdr:from>
    <xdr:to>
      <xdr:col>26</xdr:col>
      <xdr:colOff>255887</xdr:colOff>
      <xdr:row>38</xdr:row>
      <xdr:rowOff>47625</xdr:rowOff>
    </xdr:to>
    <xdr:sp macro="" textlink="">
      <xdr:nvSpPr>
        <xdr:cNvPr id="84" name="Rectangle: Rounded Corners 83">
          <a:extLst>
            <a:ext uri="{FF2B5EF4-FFF2-40B4-BE49-F238E27FC236}">
              <a16:creationId xmlns:a16="http://schemas.microsoft.com/office/drawing/2014/main" id="{6D3620CA-3877-4E26-84F7-86BA08650E79}"/>
            </a:ext>
          </a:extLst>
        </xdr:cNvPr>
        <xdr:cNvSpPr/>
      </xdr:nvSpPr>
      <xdr:spPr>
        <a:xfrm>
          <a:off x="11026775" y="1420403"/>
          <a:ext cx="5188779" cy="5284139"/>
        </a:xfrm>
        <a:prstGeom prst="roundRect">
          <a:avLst>
            <a:gd name="adj" fmla="val 516"/>
          </a:avLst>
        </a:prstGeom>
        <a:solidFill>
          <a:schemeClr val="bg1">
            <a:lumMod val="95000"/>
          </a:schemeClr>
        </a:solidFill>
        <a:ln w="9525">
          <a:solidFill>
            <a:schemeClr val="bg2">
              <a:lumMod val="90000"/>
            </a:schemeClr>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179917</xdr:colOff>
      <xdr:row>11</xdr:row>
      <xdr:rowOff>148167</xdr:rowOff>
    </xdr:from>
    <xdr:to>
      <xdr:col>25</xdr:col>
      <xdr:colOff>518584</xdr:colOff>
      <xdr:row>35</xdr:row>
      <xdr:rowOff>84667</xdr:rowOff>
    </xdr:to>
    <mc:AlternateContent xmlns:mc="http://schemas.openxmlformats.org/markup-compatibility/2006">
      <mc:Choice xmlns:cx4="http://schemas.microsoft.com/office/drawing/2016/5/10/chartex" Requires="cx4">
        <xdr:graphicFrame macro="">
          <xdr:nvGraphicFramePr>
            <xdr:cNvPr id="86" name="Chart 85">
              <a:extLst>
                <a:ext uri="{FF2B5EF4-FFF2-40B4-BE49-F238E27FC236}">
                  <a16:creationId xmlns:a16="http://schemas.microsoft.com/office/drawing/2014/main" id="{04F2362D-7299-40A1-9920-83CBF15F38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1152717" y="2159847"/>
              <a:ext cx="4605867" cy="4325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19</xdr:col>
      <xdr:colOff>161193</xdr:colOff>
      <xdr:row>9</xdr:row>
      <xdr:rowOff>161193</xdr:rowOff>
    </xdr:from>
    <xdr:ext cx="2008392" cy="399724"/>
    <xdr:sp macro="" textlink="">
      <xdr:nvSpPr>
        <xdr:cNvPr id="87" name="TextBox 86">
          <a:extLst>
            <a:ext uri="{FF2B5EF4-FFF2-40B4-BE49-F238E27FC236}">
              <a16:creationId xmlns:a16="http://schemas.microsoft.com/office/drawing/2014/main" id="{1AC1B4FC-E308-4AF8-9799-356EC251D2D2}"/>
            </a:ext>
          </a:extLst>
        </xdr:cNvPr>
        <xdr:cNvSpPr txBox="1"/>
      </xdr:nvSpPr>
      <xdr:spPr>
        <a:xfrm>
          <a:off x="11824026" y="1600526"/>
          <a:ext cx="2008392" cy="3997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b="1"/>
            <a:t>Top 5</a:t>
          </a:r>
          <a:r>
            <a:rPr lang="en-IN" sz="1800" b="1" baseline="0"/>
            <a:t> Sales State</a:t>
          </a:r>
          <a:endParaRPr lang="en-IN" sz="1800" b="1"/>
        </a:p>
        <a:p>
          <a:endParaRPr lang="en-IN" sz="1400" b="1"/>
        </a:p>
      </xdr:txBody>
    </xdr:sp>
    <xdr:clientData/>
  </xdr:oneCellAnchor>
  <xdr:oneCellAnchor>
    <xdr:from>
      <xdr:col>2</xdr:col>
      <xdr:colOff>157655</xdr:colOff>
      <xdr:row>39</xdr:row>
      <xdr:rowOff>131380</xdr:rowOff>
    </xdr:from>
    <xdr:ext cx="1602827" cy="311496"/>
    <xdr:sp macro="" textlink="">
      <xdr:nvSpPr>
        <xdr:cNvPr id="90" name="TextBox 89">
          <a:extLst>
            <a:ext uri="{FF2B5EF4-FFF2-40B4-BE49-F238E27FC236}">
              <a16:creationId xmlns:a16="http://schemas.microsoft.com/office/drawing/2014/main" id="{5934A945-3C4B-57F2-2A67-FB8FA6284AF7}"/>
            </a:ext>
          </a:extLst>
        </xdr:cNvPr>
        <xdr:cNvSpPr txBox="1"/>
      </xdr:nvSpPr>
      <xdr:spPr>
        <a:xfrm>
          <a:off x="1366345" y="7120759"/>
          <a:ext cx="16028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Year Wise Sales </a:t>
          </a:r>
        </a:p>
      </xdr:txBody>
    </xdr:sp>
    <xdr:clientData/>
  </xdr:oneCellAnchor>
  <xdr:oneCellAnchor>
    <xdr:from>
      <xdr:col>11</xdr:col>
      <xdr:colOff>52552</xdr:colOff>
      <xdr:row>39</xdr:row>
      <xdr:rowOff>105104</xdr:rowOff>
    </xdr:from>
    <xdr:ext cx="2640723" cy="433551"/>
    <xdr:sp macro="" textlink="">
      <xdr:nvSpPr>
        <xdr:cNvPr id="91" name="TextBox 90">
          <a:extLst>
            <a:ext uri="{FF2B5EF4-FFF2-40B4-BE49-F238E27FC236}">
              <a16:creationId xmlns:a16="http://schemas.microsoft.com/office/drawing/2014/main" id="{B6E650E0-9ABB-A022-5CDF-E243C72C07C4}"/>
            </a:ext>
          </a:extLst>
        </xdr:cNvPr>
        <xdr:cNvSpPr txBox="1"/>
      </xdr:nvSpPr>
      <xdr:spPr>
        <a:xfrm>
          <a:off x="6700345" y="7094483"/>
          <a:ext cx="2640723" cy="433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Month Wise Sales</a:t>
          </a:r>
        </a:p>
        <a:p>
          <a:endParaRPr lang="en-IN" sz="1100"/>
        </a:p>
      </xdr:txBody>
    </xdr:sp>
    <xdr:clientData/>
  </xdr:oneCellAnchor>
  <xdr:twoCellAnchor>
    <xdr:from>
      <xdr:col>16</xdr:col>
      <xdr:colOff>469736</xdr:colOff>
      <xdr:row>5</xdr:row>
      <xdr:rowOff>19538</xdr:rowOff>
    </xdr:from>
    <xdr:to>
      <xdr:col>24</xdr:col>
      <xdr:colOff>10583</xdr:colOff>
      <xdr:row>8</xdr:row>
      <xdr:rowOff>52917</xdr:rowOff>
    </xdr:to>
    <xdr:sp macro="" textlink="">
      <xdr:nvSpPr>
        <xdr:cNvPr id="92" name="Rectangle: Rounded Corners 91">
          <a:extLst>
            <a:ext uri="{FF2B5EF4-FFF2-40B4-BE49-F238E27FC236}">
              <a16:creationId xmlns:a16="http://schemas.microsoft.com/office/drawing/2014/main" id="{59FD7931-31AE-76C4-EB5A-51FF3B68758C}"/>
            </a:ext>
          </a:extLst>
        </xdr:cNvPr>
        <xdr:cNvSpPr/>
      </xdr:nvSpPr>
      <xdr:spPr>
        <a:xfrm>
          <a:off x="10291069" y="919121"/>
          <a:ext cx="4451514" cy="573129"/>
        </a:xfrm>
        <a:prstGeom prst="roundRect">
          <a:avLst>
            <a:gd name="adj" fmla="val 16877"/>
          </a:avLst>
        </a:prstGeom>
        <a:solidFill>
          <a:schemeClr val="bg1">
            <a:lumMod val="95000"/>
          </a:schemeClr>
        </a:solidFill>
        <a:ln w="9525">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560917</xdr:colOff>
      <xdr:row>5</xdr:row>
      <xdr:rowOff>127002</xdr:rowOff>
    </xdr:from>
    <xdr:to>
      <xdr:col>24</xdr:col>
      <xdr:colOff>0</xdr:colOff>
      <xdr:row>8</xdr:row>
      <xdr:rowOff>0</xdr:rowOff>
    </xdr:to>
    <mc:AlternateContent xmlns:mc="http://schemas.openxmlformats.org/markup-compatibility/2006" xmlns:a14="http://schemas.microsoft.com/office/drawing/2010/main">
      <mc:Choice Requires="a14">
        <xdr:graphicFrame macro="">
          <xdr:nvGraphicFramePr>
            <xdr:cNvPr id="93" name="Ship Mode">
              <a:extLst>
                <a:ext uri="{FF2B5EF4-FFF2-40B4-BE49-F238E27FC236}">
                  <a16:creationId xmlns:a16="http://schemas.microsoft.com/office/drawing/2014/main" id="{533BED22-898C-465C-8C7E-3AA4035D4CB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382250" y="1026585"/>
              <a:ext cx="4349750" cy="412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68386</xdr:colOff>
      <xdr:row>1</xdr:row>
      <xdr:rowOff>95249</xdr:rowOff>
    </xdr:from>
    <xdr:to>
      <xdr:col>26</xdr:col>
      <xdr:colOff>203917</xdr:colOff>
      <xdr:row>8</xdr:row>
      <xdr:rowOff>74084</xdr:rowOff>
    </xdr:to>
    <xdr:sp macro="" textlink="">
      <xdr:nvSpPr>
        <xdr:cNvPr id="95" name="Rectangle: Rounded Corners 94">
          <a:extLst>
            <a:ext uri="{FF2B5EF4-FFF2-40B4-BE49-F238E27FC236}">
              <a16:creationId xmlns:a16="http://schemas.microsoft.com/office/drawing/2014/main" id="{916BD123-17A5-6442-DEC5-02A86DA0ECC7}"/>
            </a:ext>
          </a:extLst>
        </xdr:cNvPr>
        <xdr:cNvSpPr/>
      </xdr:nvSpPr>
      <xdr:spPr>
        <a:xfrm>
          <a:off x="14800386" y="275166"/>
          <a:ext cx="1363198" cy="1238251"/>
        </a:xfrm>
        <a:prstGeom prst="roundRect">
          <a:avLst>
            <a:gd name="adj" fmla="val 1852"/>
          </a:avLst>
        </a:prstGeom>
        <a:solidFill>
          <a:schemeClr val="bg1">
            <a:lumMod val="95000"/>
          </a:schemeClr>
        </a:solidFill>
        <a:ln w="9525">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136770</xdr:colOff>
      <xdr:row>2</xdr:row>
      <xdr:rowOff>78153</xdr:rowOff>
    </xdr:from>
    <xdr:to>
      <xdr:col>26</xdr:col>
      <xdr:colOff>117233</xdr:colOff>
      <xdr:row>7</xdr:row>
      <xdr:rowOff>166076</xdr:rowOff>
    </xdr:to>
    <mc:AlternateContent xmlns:mc="http://schemas.openxmlformats.org/markup-compatibility/2006" xmlns:a14="http://schemas.microsoft.com/office/drawing/2010/main">
      <mc:Choice Requires="a14">
        <xdr:graphicFrame macro="">
          <xdr:nvGraphicFramePr>
            <xdr:cNvPr id="96" name="Segment">
              <a:extLst>
                <a:ext uri="{FF2B5EF4-FFF2-40B4-BE49-F238E27FC236}">
                  <a16:creationId xmlns:a16="http://schemas.microsoft.com/office/drawing/2014/main" id="{282B9FC0-4085-4E8A-A5E6-55298CC6FD9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832484" y="255046"/>
              <a:ext cx="1205106" cy="972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96308</xdr:colOff>
      <xdr:row>39</xdr:row>
      <xdr:rowOff>9525</xdr:rowOff>
    </xdr:from>
    <xdr:to>
      <xdr:col>26</xdr:col>
      <xdr:colOff>363008</xdr:colOff>
      <xdr:row>54</xdr:row>
      <xdr:rowOff>10583</xdr:rowOff>
    </xdr:to>
    <xdr:sp macro="" textlink="">
      <xdr:nvSpPr>
        <xdr:cNvPr id="98" name="Rectangle: Rounded Corners 97">
          <a:extLst>
            <a:ext uri="{FF2B5EF4-FFF2-40B4-BE49-F238E27FC236}">
              <a16:creationId xmlns:a16="http://schemas.microsoft.com/office/drawing/2014/main" id="{379B9067-BC6C-49F7-9A56-EA6C946F45DA}"/>
            </a:ext>
          </a:extLst>
        </xdr:cNvPr>
        <xdr:cNvSpPr/>
      </xdr:nvSpPr>
      <xdr:spPr>
        <a:xfrm>
          <a:off x="11145308" y="7026275"/>
          <a:ext cx="5177367" cy="2699808"/>
        </a:xfrm>
        <a:prstGeom prst="roundRect">
          <a:avLst>
            <a:gd name="adj" fmla="val 1818"/>
          </a:avLst>
        </a:prstGeom>
        <a:solidFill>
          <a:schemeClr val="bg1">
            <a:lumMod val="95000"/>
          </a:schemeClr>
        </a:solidFill>
        <a:ln w="9525">
          <a:solidFill>
            <a:schemeClr val="bg2">
              <a:lumMod val="90000"/>
            </a:schemeClr>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254000</xdr:colOff>
      <xdr:row>39</xdr:row>
      <xdr:rowOff>158750</xdr:rowOff>
    </xdr:from>
    <xdr:to>
      <xdr:col>26</xdr:col>
      <xdr:colOff>236007</xdr:colOff>
      <xdr:row>53</xdr:row>
      <xdr:rowOff>95250</xdr:rowOff>
    </xdr:to>
    <xdr:pic>
      <xdr:nvPicPr>
        <xdr:cNvPr id="100" name="Picture 99">
          <a:extLst>
            <a:ext uri="{FF2B5EF4-FFF2-40B4-BE49-F238E27FC236}">
              <a16:creationId xmlns:a16="http://schemas.microsoft.com/office/drawing/2014/main" id="{650E9761-283F-8A69-0277-79C50DF8826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1303000" y="6995583"/>
          <a:ext cx="4892674" cy="2455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84667</xdr:colOff>
      <xdr:row>39</xdr:row>
      <xdr:rowOff>70233</xdr:rowOff>
    </xdr:from>
    <xdr:to>
      <xdr:col>17</xdr:col>
      <xdr:colOff>486833</xdr:colOff>
      <xdr:row>54</xdr:row>
      <xdr:rowOff>10582</xdr:rowOff>
    </xdr:to>
    <xdr:graphicFrame macro="">
      <xdr:nvGraphicFramePr>
        <xdr:cNvPr id="16" name="Chart 15">
          <a:extLst>
            <a:ext uri="{FF2B5EF4-FFF2-40B4-BE49-F238E27FC236}">
              <a16:creationId xmlns:a16="http://schemas.microsoft.com/office/drawing/2014/main" id="{60D2EDC7-ED73-4E6C-9020-793C70187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84667</xdr:colOff>
      <xdr:row>22</xdr:row>
      <xdr:rowOff>126998</xdr:rowOff>
    </xdr:from>
    <xdr:to>
      <xdr:col>17</xdr:col>
      <xdr:colOff>476250</xdr:colOff>
      <xdr:row>38</xdr:row>
      <xdr:rowOff>70732</xdr:rowOff>
    </xdr:to>
    <xdr:sp macro="" textlink="">
      <xdr:nvSpPr>
        <xdr:cNvPr id="23" name="Rectangle: Rounded Corners 22">
          <a:extLst>
            <a:ext uri="{FF2B5EF4-FFF2-40B4-BE49-F238E27FC236}">
              <a16:creationId xmlns:a16="http://schemas.microsoft.com/office/drawing/2014/main" id="{FB4F5B12-6D2E-9962-F3C9-27ABAF431112}"/>
            </a:ext>
          </a:extLst>
        </xdr:cNvPr>
        <xdr:cNvSpPr/>
      </xdr:nvSpPr>
      <xdr:spPr>
        <a:xfrm>
          <a:off x="4995334" y="4085165"/>
          <a:ext cx="5916083" cy="2822400"/>
        </a:xfrm>
        <a:prstGeom prst="roundRect">
          <a:avLst>
            <a:gd name="adj" fmla="val 3082"/>
          </a:avLst>
        </a:prstGeom>
        <a:solidFill>
          <a:schemeClr val="bg1">
            <a:lumMod val="95000"/>
          </a:schemeClr>
        </a:solidFill>
        <a:ln w="9525">
          <a:solidFill>
            <a:schemeClr val="bg2">
              <a:lumMod val="90000"/>
            </a:schemeClr>
          </a:solidFill>
        </a:ln>
        <a:effectLst>
          <a:outerShdw blurRad="508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370418</xdr:colOff>
      <xdr:row>22</xdr:row>
      <xdr:rowOff>148166</xdr:rowOff>
    </xdr:from>
    <xdr:ext cx="2360083" cy="374077"/>
    <xdr:sp macro="" textlink="">
      <xdr:nvSpPr>
        <xdr:cNvPr id="25" name="TextBox 24">
          <a:extLst>
            <a:ext uri="{FF2B5EF4-FFF2-40B4-BE49-F238E27FC236}">
              <a16:creationId xmlns:a16="http://schemas.microsoft.com/office/drawing/2014/main" id="{F1E45196-9596-32B5-5FBD-381C2C077A5B}"/>
            </a:ext>
          </a:extLst>
        </xdr:cNvPr>
        <xdr:cNvSpPr txBox="1"/>
      </xdr:nvSpPr>
      <xdr:spPr>
        <a:xfrm>
          <a:off x="6508751" y="4106333"/>
          <a:ext cx="236008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t>Sales By Sub category</a:t>
          </a:r>
        </a:p>
      </xdr:txBody>
    </xdr:sp>
    <xdr:clientData/>
  </xdr:oneCellAnchor>
  <xdr:twoCellAnchor>
    <xdr:from>
      <xdr:col>8</xdr:col>
      <xdr:colOff>52916</xdr:colOff>
      <xdr:row>22</xdr:row>
      <xdr:rowOff>31750</xdr:rowOff>
    </xdr:from>
    <xdr:to>
      <xdr:col>17</xdr:col>
      <xdr:colOff>391582</xdr:colOff>
      <xdr:row>38</xdr:row>
      <xdr:rowOff>23282</xdr:rowOff>
    </xdr:to>
    <xdr:graphicFrame macro="">
      <xdr:nvGraphicFramePr>
        <xdr:cNvPr id="26" name="Chart 25">
          <a:extLst>
            <a:ext uri="{FF2B5EF4-FFF2-40B4-BE49-F238E27FC236}">
              <a16:creationId xmlns:a16="http://schemas.microsoft.com/office/drawing/2014/main" id="{B968C069-DEB9-4D9D-9001-9644C5CCA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6.38132349537" backgroundQuery="1" createdVersion="8" refreshedVersion="8" minRefreshableVersion="3" recordCount="793" xr:uid="{8921AA25-E0D1-4B45-BA45-FAB290630F9D}">
  <cacheSource type="external" connectionId="1"/>
  <cacheFields count="27">
    <cacheField name="Row ID" numFmtId="0">
      <sharedItems containsSemiMixedTypes="0" containsString="0" containsNumber="1" containsInteger="1" minValue="1" maxValue="9559"/>
    </cacheField>
    <cacheField name="Order ID" numFmtId="0">
      <sharedItems/>
    </cacheField>
    <cacheField name="Order Date" numFmtId="0">
      <sharedItems containsSemiMixedTypes="0" containsNonDate="0" containsDate="1" containsString="0" minDate="2014-01-04T00:00:00" maxDate="2017-12-31T00:00:00" count="552">
        <d v="2014-01-13T00:00:00"/>
        <d v="2014-01-10T00:00:00"/>
        <d v="2017-01-21T00:00:00"/>
        <d v="2017-01-27T00:00:00"/>
        <d v="2014-01-15T00:00:00"/>
        <d v="2016-01-09T00:00:00"/>
        <d v="2014-01-04T00:00:00"/>
        <d v="2017-01-26T00:00:00"/>
        <d v="2017-01-08T00:00:00"/>
        <d v="2014-01-27T00:00:00"/>
        <d v="2017-01-20T00:00:00"/>
        <d v="2016-01-22T00:00:00"/>
        <d v="2015-01-02T00:00:00"/>
        <d v="2017-01-01T00:00:00"/>
        <d v="2014-01-31T00:00:00"/>
        <d v="2017-01-14T00:00:00"/>
        <d v="2016-01-11T00:00:00"/>
        <d v="2016-01-16T00:00:00"/>
        <d v="2015-01-31T00:00:00"/>
        <d v="2017-01-28T00:00:00"/>
        <d v="2014-01-09T00:00:00"/>
        <d v="2017-01-02T00:00:00"/>
        <d v="2015-01-17T00:00:00"/>
        <d v="2016-01-30T00:00:00"/>
        <d v="2017-01-30T00:00:00"/>
        <d v="2017-01-23T00:00:00"/>
        <d v="2014-01-11T00:00:00"/>
        <d v="2017-02-02T00:00:00"/>
        <d v="2016-02-07T00:00:00"/>
        <d v="2017-02-13T00:00:00"/>
        <d v="2017-02-20T00:00:00"/>
        <d v="2016-02-11T00:00:00"/>
        <d v="2015-02-15T00:00:00"/>
        <d v="2016-02-08T00:00:00"/>
        <d v="2014-02-02T00:00:00"/>
        <d v="2015-02-09T00:00:00"/>
        <d v="2015-02-28T00:00:00"/>
        <d v="2014-02-04T00:00:00"/>
        <d v="2017-02-10T00:00:00"/>
        <d v="2014-02-03T00:00:00"/>
        <d v="2016-02-05T00:00:00"/>
        <d v="2014-02-16T00:00:00"/>
        <d v="2017-02-03T00:00:00"/>
        <d v="2017-02-26T00:00:00"/>
        <d v="2017-02-06T00:00:00"/>
        <d v="2014-02-01T00:00:00"/>
        <d v="2014-02-07T00:00:00"/>
        <d v="2014-02-12T00:00:00"/>
        <d v="2017-02-11T00:00:00"/>
        <d v="2016-02-13T00:00:00"/>
        <d v="2015-02-08T00:00:00"/>
        <d v="2014-03-22T00:00:00"/>
        <d v="2015-03-24T00:00:00"/>
        <d v="2015-03-22T00:00:00"/>
        <d v="2015-03-10T00:00:00"/>
        <d v="2015-03-08T00:00:00"/>
        <d v="2016-03-26T00:00:00"/>
        <d v="2015-03-16T00:00:00"/>
        <d v="2016-03-22T00:00:00"/>
        <d v="2016-03-14T00:00:00"/>
        <d v="2016-03-11T00:00:00"/>
        <d v="2016-03-05T00:00:00"/>
        <d v="2017-03-23T00:00:00"/>
        <d v="2014-03-21T00:00:00"/>
        <d v="2015-03-29T00:00:00"/>
        <d v="2016-03-20T00:00:00"/>
        <d v="2017-03-30T00:00:00"/>
        <d v="2016-03-17T00:00:00"/>
        <d v="2017-03-27T00:00:00"/>
        <d v="2017-03-03T00:00:00"/>
        <d v="2016-03-30T00:00:00"/>
        <d v="2014-03-03T00:00:00"/>
        <d v="2017-03-26T00:00:00"/>
        <d v="2017-03-31T00:00:00"/>
        <d v="2017-03-07T00:00:00"/>
        <d v="2014-03-07T00:00:00"/>
        <d v="2015-03-15T00:00:00"/>
        <d v="2014-03-15T00:00:00"/>
        <d v="2017-03-08T00:00:00"/>
        <d v="2017-03-18T00:00:00"/>
        <d v="2017-03-06T00:00:00"/>
        <d v="2017-03-20T00:00:00"/>
        <d v="2015-03-02T00:00:00"/>
        <d v="2016-03-12T00:00:00"/>
        <d v="2015-03-20T00:00:00"/>
        <d v="2017-03-13T00:00:00"/>
        <d v="2016-03-13T00:00:00"/>
        <d v="2014-03-01T00:00:00"/>
        <d v="2017-03-25T00:00:00"/>
        <d v="2014-03-25T00:00:00"/>
        <d v="2017-03-10T00:00:00"/>
        <d v="2016-03-19T00:00:00"/>
        <d v="2016-03-18T00:00:00"/>
        <d v="2015-03-28T00:00:00"/>
        <d v="2016-04-01T00:00:00"/>
        <d v="2016-04-24T00:00:00"/>
        <d v="2016-04-15T00:00:00"/>
        <d v="2016-04-25T00:00:00"/>
        <d v="2015-04-25T00:00:00"/>
        <d v="2016-04-22T00:00:00"/>
        <d v="2016-04-07T00:00:00"/>
        <d v="2015-04-11T00:00:00"/>
        <d v="2017-04-03T00:00:00"/>
        <d v="2016-04-28T00:00:00"/>
        <d v="2017-04-22T00:00:00"/>
        <d v="2015-04-28T00:00:00"/>
        <d v="2016-04-14T00:00:00"/>
        <d v="2014-04-29T00:00:00"/>
        <d v="2014-04-06T00:00:00"/>
        <d v="2016-04-23T00:00:00"/>
        <d v="2016-04-08T00:00:00"/>
        <d v="2017-04-09T00:00:00"/>
        <d v="2016-04-10T00:00:00"/>
        <d v="2015-04-04T00:00:00"/>
        <d v="2017-04-10T00:00:00"/>
        <d v="2015-04-09T00:00:00"/>
        <d v="2015-04-16T00:00:00"/>
        <d v="2014-04-05T00:00:00"/>
        <d v="2015-04-06T00:00:00"/>
        <d v="2017-04-11T00:00:00"/>
        <d v="2017-04-21T00:00:00"/>
        <d v="2015-04-26T00:00:00"/>
        <d v="2016-04-18T00:00:00"/>
        <d v="2016-04-30T00:00:00"/>
        <d v="2014-04-26T00:00:00"/>
        <d v="2017-04-17T00:00:00"/>
        <d v="2017-04-14T00:00:00"/>
        <d v="2015-04-17T00:00:00"/>
        <d v="2015-04-05T00:00:00"/>
        <d v="2016-04-05T00:00:00"/>
        <d v="2016-04-09T00:00:00"/>
        <d v="2017-04-02T00:00:00"/>
        <d v="2015-04-02T00:00:00"/>
        <d v="2017-04-08T00:00:00"/>
        <d v="2014-04-25T00:00:00"/>
        <d v="2015-04-30T00:00:00"/>
        <d v="2017-04-26T00:00:00"/>
        <d v="2017-04-16T00:00:00"/>
        <d v="2017-04-29T00:00:00"/>
        <d v="2016-04-26T00:00:00"/>
        <d v="2016-04-17T00:00:00"/>
        <d v="2015-04-18T00:00:00"/>
        <d v="2017-04-15T00:00:00"/>
        <d v="2014-05-23T00:00:00"/>
        <d v="2017-05-18T00:00:00"/>
        <d v="2016-05-02T00:00:00"/>
        <d v="2014-05-22T00:00:00"/>
        <d v="2017-05-14T00:00:00"/>
        <d v="2017-05-19T00:00:00"/>
        <d v="2017-05-03T00:00:00"/>
        <d v="2017-05-23T00:00:00"/>
        <d v="2015-05-14T00:00:00"/>
        <d v="2017-05-15T00:00:00"/>
        <d v="2016-05-05T00:00:00"/>
        <d v="2015-05-25T00:00:00"/>
        <d v="2016-05-23T00:00:00"/>
        <d v="2014-05-04T00:00:00"/>
        <d v="2016-05-16T00:00:00"/>
        <d v="2016-05-09T00:00:00"/>
        <d v="2016-05-12T00:00:00"/>
        <d v="2014-05-21T00:00:00"/>
        <d v="2014-05-26T00:00:00"/>
        <d v="2016-05-30T00:00:00"/>
        <d v="2016-05-26T00:00:00"/>
        <d v="2016-05-18T00:00:00"/>
        <d v="2014-05-11T00:00:00"/>
        <d v="2015-05-31T00:00:00"/>
        <d v="2014-05-25T00:00:00"/>
        <d v="2014-05-20T00:00:00"/>
        <d v="2014-05-09T00:00:00"/>
        <d v="2016-05-20T00:00:00"/>
        <d v="2014-05-14T00:00:00"/>
        <d v="2016-05-25T00:00:00"/>
        <d v="2016-05-03T00:00:00"/>
        <d v="2014-05-13T00:00:00"/>
        <d v="2016-05-29T00:00:00"/>
        <d v="2015-05-04T00:00:00"/>
        <d v="2017-05-29T00:00:00"/>
        <d v="2015-05-28T00:00:00"/>
        <d v="2016-05-11T00:00:00"/>
        <d v="2016-06-26T00:00:00"/>
        <d v="2014-06-02T00:00:00"/>
        <d v="2017-06-10T00:00:00"/>
        <d v="2016-06-04T00:00:00"/>
        <d v="2014-06-20T00:00:00"/>
        <d v="2014-06-09T00:00:00"/>
        <d v="2016-06-17T00:00:00"/>
        <d v="2016-06-20T00:00:00"/>
        <d v="2014-06-08T00:00:00"/>
        <d v="2014-06-21T00:00:00"/>
        <d v="2015-06-15T00:00:00"/>
        <d v="2017-06-02T00:00:00"/>
        <d v="2016-06-23T00:00:00"/>
        <d v="2017-06-29T00:00:00"/>
        <d v="2017-06-12T00:00:00"/>
        <d v="2015-06-12T00:00:00"/>
        <d v="2017-06-24T00:00:00"/>
        <d v="2017-06-20T00:00:00"/>
        <d v="2017-06-17T00:00:00"/>
        <d v="2014-06-29T00:00:00"/>
        <d v="2016-06-12T00:00:00"/>
        <d v="2014-06-01T00:00:00"/>
        <d v="2017-06-08T00:00:00"/>
        <d v="2015-06-13T00:00:00"/>
        <d v="2017-06-30T00:00:00"/>
        <d v="2017-06-03T00:00:00"/>
        <d v="2014-06-22T00:00:00"/>
        <d v="2017-06-27T00:00:00"/>
        <d v="2016-06-06T00:00:00"/>
        <d v="2016-06-14T00:00:00"/>
        <d v="2014-06-30T00:00:00"/>
        <d v="2017-06-11T00:00:00"/>
        <d v="2015-06-07T00:00:00"/>
        <d v="2017-06-26T00:00:00"/>
        <d v="2016-06-10T00:00:00"/>
        <d v="2015-06-26T00:00:00"/>
        <d v="2016-06-19T00:00:00"/>
        <d v="2017-06-15T00:00:00"/>
        <d v="2014-06-07T00:00:00"/>
        <d v="2014-06-23T00:00:00"/>
        <d v="2017-06-16T00:00:00"/>
        <d v="2017-06-04T00:00:00"/>
        <d v="2015-06-23T00:00:00"/>
        <d v="2014-06-16T00:00:00"/>
        <d v="2017-07-08T00:00:00"/>
        <d v="2016-07-14T00:00:00"/>
        <d v="2014-07-12T00:00:00"/>
        <d v="2017-07-28T00:00:00"/>
        <d v="2017-07-15T00:00:00"/>
        <d v="2014-07-18T00:00:00"/>
        <d v="2015-07-06T00:00:00"/>
        <d v="2015-07-11T00:00:00"/>
        <d v="2015-07-25T00:00:00"/>
        <d v="2017-07-20T00:00:00"/>
        <d v="2014-07-23T00:00:00"/>
        <d v="2016-07-21T00:00:00"/>
        <d v="2017-07-03T00:00:00"/>
        <d v="2017-07-10T00:00:00"/>
        <d v="2017-07-09T00:00:00"/>
        <d v="2017-07-30T00:00:00"/>
        <d v="2015-07-19T00:00:00"/>
        <d v="2016-07-18T00:00:00"/>
        <d v="2017-07-16T00:00:00"/>
        <d v="2016-07-22T00:00:00"/>
        <d v="2016-07-16T00:00:00"/>
        <d v="2015-07-13T00:00:00"/>
        <d v="2015-07-03T00:00:00"/>
        <d v="2015-07-24T00:00:00"/>
        <d v="2016-07-10T00:00:00"/>
        <d v="2016-07-23T00:00:00"/>
        <d v="2014-07-21T00:00:00"/>
        <d v="2017-07-29T00:00:00"/>
        <d v="2014-07-14T00:00:00"/>
        <d v="2017-07-06T00:00:00"/>
        <d v="2016-07-08T00:00:00"/>
        <d v="2017-07-23T00:00:00"/>
        <d v="2016-07-29T00:00:00"/>
        <d v="2016-07-17T00:00:00"/>
        <d v="2016-07-07T00:00:00"/>
        <d v="2014-07-01T00:00:00"/>
        <d v="2014-07-22T00:00:00"/>
        <d v="2017-07-11T00:00:00"/>
        <d v="2014-07-05T00:00:00"/>
        <d v="2016-07-25T00:00:00"/>
        <d v="2017-08-01T00:00:00"/>
        <d v="2016-08-08T00:00:00"/>
        <d v="2015-08-27T00:00:00"/>
        <d v="2014-08-01T00:00:00"/>
        <d v="2014-08-05T00:00:00"/>
        <d v="2014-08-09T00:00:00"/>
        <d v="2014-08-03T00:00:00"/>
        <d v="2016-08-15T00:00:00"/>
        <d v="2014-08-11T00:00:00"/>
        <d v="2014-08-26T00:00:00"/>
        <d v="2017-08-17T00:00:00"/>
        <d v="2016-08-29T00:00:00"/>
        <d v="2016-08-27T00:00:00"/>
        <d v="2015-08-01T00:00:00"/>
        <d v="2017-08-27T00:00:00"/>
        <d v="2017-08-21T00:00:00"/>
        <d v="2016-08-06T00:00:00"/>
        <d v="2016-08-22T00:00:00"/>
        <d v="2016-08-26T00:00:00"/>
        <d v="2017-08-18T00:00:00"/>
        <d v="2017-08-05T00:00:00"/>
        <d v="2014-08-27T00:00:00"/>
        <d v="2014-08-08T00:00:00"/>
        <d v="2017-08-31T00:00:00"/>
        <d v="2015-08-11T00:00:00"/>
        <d v="2016-08-16T00:00:00"/>
        <d v="2014-08-24T00:00:00"/>
        <d v="2016-08-30T00:00:00"/>
        <d v="2015-08-25T00:00:00"/>
        <d v="2016-08-04T00:00:00"/>
        <d v="2014-08-29T00:00:00"/>
        <d v="2014-08-25T00:00:00"/>
        <d v="2017-08-26T00:00:00"/>
        <d v="2015-08-09T00:00:00"/>
        <d v="2015-08-15T00:00:00"/>
        <d v="2016-08-12T00:00:00"/>
        <d v="2015-08-31T00:00:00"/>
        <d v="2016-09-25T00:00:00"/>
        <d v="2015-09-24T00:00:00"/>
        <d v="2015-09-21T00:00:00"/>
        <d v="2017-09-04T00:00:00"/>
        <d v="2017-09-15T00:00:00"/>
        <d v="2014-09-19T00:00:00"/>
        <d v="2016-09-11T00:00:00"/>
        <d v="2015-09-26T00:00:00"/>
        <d v="2016-09-29T00:00:00"/>
        <d v="2015-09-06T00:00:00"/>
        <d v="2016-09-05T00:00:00"/>
        <d v="2016-09-17T00:00:00"/>
        <d v="2017-09-08T00:00:00"/>
        <d v="2015-09-03T00:00:00"/>
        <d v="2014-09-12T00:00:00"/>
        <d v="2014-09-01T00:00:00"/>
        <d v="2016-09-18T00:00:00"/>
        <d v="2017-09-19T00:00:00"/>
        <d v="2017-09-10T00:00:00"/>
        <d v="2015-09-17T00:00:00"/>
        <d v="2015-09-25T00:00:00"/>
        <d v="2015-09-07T00:00:00"/>
        <d v="2016-09-08T00:00:00"/>
        <d v="2017-09-21T00:00:00"/>
        <d v="2014-09-06T00:00:00"/>
        <d v="2017-09-22T00:00:00"/>
        <d v="2015-09-01T00:00:00"/>
        <d v="2017-09-02T00:00:00"/>
        <d v="2016-09-19T00:00:00"/>
        <d v="2017-09-25T00:00:00"/>
        <d v="2017-09-12T00:00:00"/>
        <d v="2014-09-30T00:00:00"/>
        <d v="2014-09-14T00:00:00"/>
        <d v="2014-09-20T00:00:00"/>
        <d v="2014-09-08T00:00:00"/>
        <d v="2017-09-17T00:00:00"/>
        <d v="2015-09-15T00:00:00"/>
        <d v="2017-09-23T00:00:00"/>
        <d v="2014-09-26T00:00:00"/>
        <d v="2017-09-18T00:00:00"/>
        <d v="2014-09-09T00:00:00"/>
        <d v="2016-09-06T00:00:00"/>
        <d v="2017-09-03T00:00:00"/>
        <d v="2014-09-13T00:00:00"/>
        <d v="2016-09-03T00:00:00"/>
        <d v="2017-09-28T00:00:00"/>
        <d v="2015-09-04T00:00:00"/>
        <d v="2014-09-21T00:00:00"/>
        <d v="2017-09-09T00:00:00"/>
        <d v="2014-09-27T00:00:00"/>
        <d v="2016-09-01T00:00:00"/>
        <d v="2016-09-15T00:00:00"/>
        <d v="2014-09-17T00:00:00"/>
        <d v="2017-09-29T00:00:00"/>
        <d v="2016-09-28T00:00:00"/>
        <d v="2014-09-24T00:00:00"/>
        <d v="2015-09-22T00:00:00"/>
        <d v="2017-09-16T00:00:00"/>
        <d v="2015-09-10T00:00:00"/>
        <d v="2017-09-07T00:00:00"/>
        <d v="2015-09-18T00:00:00"/>
        <d v="2015-09-19T00:00:00"/>
        <d v="2016-09-12T00:00:00"/>
        <d v="2014-09-28T00:00:00"/>
        <d v="2015-10-28T00:00:00"/>
        <d v="2017-10-19T00:00:00"/>
        <d v="2014-10-10T00:00:00"/>
        <d v="2017-10-01T00:00:00"/>
        <d v="2016-10-21T00:00:00"/>
        <d v="2016-10-01T00:00:00"/>
        <d v="2017-10-08T00:00:00"/>
        <d v="2016-10-15T00:00:00"/>
        <d v="2017-10-26T00:00:00"/>
        <d v="2017-10-20T00:00:00"/>
        <d v="2017-10-02T00:00:00"/>
        <d v="2014-10-12T00:00:00"/>
        <d v="2017-10-21T00:00:00"/>
        <d v="2017-10-03T00:00:00"/>
        <d v="2015-10-03T00:00:00"/>
        <d v="2017-10-13T00:00:00"/>
        <d v="2016-10-28T00:00:00"/>
        <d v="2015-10-15T00:00:00"/>
        <d v="2015-10-09T00:00:00"/>
        <d v="2014-10-22T00:00:00"/>
        <d v="2016-10-03T00:00:00"/>
        <d v="2017-10-14T00:00:00"/>
        <d v="2017-10-12T00:00:00"/>
        <d v="2016-10-22T00:00:00"/>
        <d v="2017-10-22T00:00:00"/>
        <d v="2015-10-11T00:00:00"/>
        <d v="2015-10-05T00:00:00"/>
        <d v="2016-10-20T00:00:00"/>
        <d v="2016-10-13T00:00:00"/>
        <d v="2015-10-31T00:00:00"/>
        <d v="2017-10-17T00:00:00"/>
        <d v="2014-10-03T00:00:00"/>
        <d v="2017-10-30T00:00:00"/>
        <d v="2014-10-04T00:00:00"/>
        <d v="2015-10-13T00:00:00"/>
        <d v="2016-10-27T00:00:00"/>
        <d v="2015-10-01T00:00:00"/>
        <d v="2017-10-29T00:00:00"/>
        <d v="2016-10-29T00:00:00"/>
        <d v="2016-10-23T00:00:00"/>
        <d v="2017-10-23T00:00:00"/>
        <d v="2017-10-06T00:00:00"/>
        <d v="2014-10-29T00:00:00"/>
        <d v="2017-10-09T00:00:00"/>
        <d v="2015-10-04T00:00:00"/>
        <d v="2015-10-12T00:00:00"/>
        <d v="2014-10-07T00:00:00"/>
        <d v="2014-10-20T00:00:00"/>
        <d v="2017-10-15T00:00:00"/>
        <d v="2016-10-14T00:00:00"/>
        <d v="2017-10-16T00:00:00"/>
        <d v="2014-10-06T00:00:00"/>
        <d v="2017-11-26T00:00:00"/>
        <d v="2017-11-04T00:00:00"/>
        <d v="2017-11-05T00:00:00"/>
        <d v="2016-11-19T00:00:00"/>
        <d v="2014-11-22T00:00:00"/>
        <d v="2017-11-24T00:00:00"/>
        <d v="2014-11-14T00:00:00"/>
        <d v="2015-11-29T00:00:00"/>
        <d v="2014-11-04T00:00:00"/>
        <d v="2015-11-26T00:00:00"/>
        <d v="2014-11-21T00:00:00"/>
        <d v="2014-11-15T00:00:00"/>
        <d v="2016-11-10T00:00:00"/>
        <d v="2017-11-19T00:00:00"/>
        <d v="2017-11-14T00:00:00"/>
        <d v="2016-11-11T00:00:00"/>
        <d v="2016-11-14T00:00:00"/>
        <d v="2016-11-06T00:00:00"/>
        <d v="2015-11-14T00:00:00"/>
        <d v="2016-11-03T00:00:00"/>
        <d v="2016-11-13T00:00:00"/>
        <d v="2016-11-01T00:00:00"/>
        <d v="2016-11-20T00:00:00"/>
        <d v="2014-11-09T00:00:00"/>
        <d v="2017-11-13T00:00:00"/>
        <d v="2017-11-27T00:00:00"/>
        <d v="2017-11-02T00:00:00"/>
        <d v="2016-11-25T00:00:00"/>
        <d v="2015-11-22T00:00:00"/>
        <d v="2017-11-06T00:00:00"/>
        <d v="2017-11-09T00:00:00"/>
        <d v="2016-11-07T00:00:00"/>
        <d v="2014-11-17T00:00:00"/>
        <d v="2016-11-16T00:00:00"/>
        <d v="2016-11-29T00:00:00"/>
        <d v="2017-11-20T00:00:00"/>
        <d v="2015-11-27T00:00:00"/>
        <d v="2017-11-12T00:00:00"/>
        <d v="2017-11-03T00:00:00"/>
        <d v="2015-11-13T00:00:00"/>
        <d v="2017-11-23T00:00:00"/>
        <d v="2015-11-24T00:00:00"/>
        <d v="2015-11-07T00:00:00"/>
        <d v="2015-11-20T00:00:00"/>
        <d v="2017-11-17T00:00:00"/>
        <d v="2014-11-11T00:00:00"/>
        <d v="2014-11-19T00:00:00"/>
        <d v="2016-11-08T00:00:00"/>
        <d v="2015-11-28T00:00:00"/>
        <d v="2016-11-24T00:00:00"/>
        <d v="2016-11-26T00:00:00"/>
        <d v="2017-11-18T00:00:00"/>
        <d v="2015-11-30T00:00:00"/>
        <d v="2014-11-29T00:00:00"/>
        <d v="2015-11-03T00:00:00"/>
        <d v="2014-11-24T00:00:00"/>
        <d v="2014-11-27T00:00:00"/>
        <d v="2016-11-12T00:00:00"/>
        <d v="2016-11-28T00:00:00"/>
        <d v="2014-11-26T00:00:00"/>
        <d v="2015-11-10T00:00:00"/>
        <d v="2016-11-22T00:00:00"/>
        <d v="2017-11-21T00:00:00"/>
        <d v="2015-11-09T00:00:00"/>
        <d v="2015-11-06T00:00:00"/>
        <d v="2014-11-18T00:00:00"/>
        <d v="2017-11-10T00:00:00"/>
        <d v="2015-11-02T00:00:00"/>
        <d v="2015-11-08T00:00:00"/>
        <d v="2017-11-30T00:00:00"/>
        <d v="2016-11-15T00:00:00"/>
        <d v="2017-12-19T00:00:00"/>
        <d v="2017-12-10T00:00:00"/>
        <d v="2017-12-28T00:00:00"/>
        <d v="2017-12-09T00:00:00"/>
        <d v="2015-12-21T00:00:00"/>
        <d v="2015-12-18T00:00:00"/>
        <d v="2016-12-30T00:00:00"/>
        <d v="2016-12-18T00:00:00"/>
        <d v="2016-12-11T00:00:00"/>
        <d v="2015-12-07T00:00:00"/>
        <d v="2015-12-19T00:00:00"/>
        <d v="2017-12-11T00:00:00"/>
        <d v="2016-12-08T00:00:00"/>
        <d v="2015-12-27T00:00:00"/>
        <d v="2015-12-24T00:00:00"/>
        <d v="2017-12-30T00:00:00"/>
        <d v="2014-12-15T00:00:00"/>
        <d v="2016-12-19T00:00:00"/>
        <d v="2015-12-06T00:00:00"/>
        <d v="2016-12-16T00:00:00"/>
        <d v="2016-12-10T00:00:00"/>
        <d v="2015-12-26T00:00:00"/>
        <d v="2017-12-07T00:00:00"/>
        <d v="2017-12-01T00:00:00"/>
        <d v="2016-12-05T00:00:00"/>
        <d v="2014-12-26T00:00:00"/>
        <d v="2016-12-09T00:00:00"/>
        <d v="2017-12-24T00:00:00"/>
        <d v="2017-12-02T00:00:00"/>
        <d v="2017-12-21T00:00:00"/>
        <d v="2015-12-10T00:00:00"/>
        <d v="2014-12-05T00:00:00"/>
        <d v="2014-12-24T00:00:00"/>
        <d v="2017-12-17T00:00:00"/>
        <d v="2017-12-16T00:00:00"/>
        <d v="2015-12-15T00:00:00"/>
        <d v="2015-12-31T00:00:00"/>
        <d v="2016-12-01T00:00:00"/>
        <d v="2017-12-25T00:00:00"/>
        <d v="2015-12-04T00:00:00"/>
        <d v="2017-12-08T00:00:00"/>
        <d v="2014-12-19T00:00:00"/>
        <d v="2017-12-03T00:00:00"/>
        <d v="2015-12-28T00:00:00"/>
        <d v="2015-12-13T00:00:00"/>
        <d v="2014-12-03T00:00:00"/>
        <d v="2014-12-10T00:00:00"/>
        <d v="2014-12-16T00:00:00"/>
        <d v="2015-12-03T00:00:00"/>
        <d v="2017-12-22T00:00:00"/>
        <d v="2014-12-28T00:00:00"/>
        <d v="2015-12-12T00:00:00"/>
        <d v="2017-12-05T00:00:00"/>
        <d v="2015-12-11T00:00:00"/>
        <d v="2014-12-12T00:00:00"/>
        <d v="2014-12-02T00:00:00"/>
        <d v="2014-12-27T00:00:00"/>
        <d v="2014-12-08T00:00:00"/>
        <d v="2016-12-03T00:00:00"/>
        <d v="2014-12-20T00:00:00"/>
        <d v="2017-12-18T00:00:00"/>
        <d v="2014-12-29T00:00:00"/>
        <d v="2015-12-20T00:00:00"/>
        <d v="2014-12-14T00:00:00"/>
      </sharedItems>
      <fieldGroup par="26"/>
    </cacheField>
    <cacheField name="Ship Date" numFmtId="0">
      <sharedItems containsSemiMixedTypes="0" containsNonDate="0" containsDate="1" containsString="0" minDate="2014-01-08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rporate"/>
        <s v="Home Office"/>
        <s v="Consumer"/>
      </sharedItems>
    </cacheField>
    <cacheField name="Country" numFmtId="0">
      <sharedItems count="1">
        <s v="United States"/>
      </sharedItems>
    </cacheField>
    <cacheField name="City" numFmtId="0">
      <sharedItems/>
    </cacheField>
    <cacheField name="State" numFmtId="0">
      <sharedItems count="41">
        <s v="Louisiana"/>
        <s v="Virginia"/>
        <s v="Washington"/>
        <s v="Ohio"/>
        <s v="Georgia"/>
        <s v="Illinois"/>
        <s v="Alabama"/>
        <s v="California"/>
        <s v="North Carolina"/>
        <s v="Colorado"/>
        <s v="Minnesota"/>
        <s v="Texas"/>
        <s v="Iowa"/>
        <s v="Michigan"/>
        <s v="Delaware"/>
        <s v="Oklahoma"/>
        <s v="Wisconsin"/>
        <s v="Tennessee"/>
        <s v="New Jersey"/>
        <s v="Arizona"/>
        <s v="New York"/>
        <s v="Nevada"/>
        <s v="Florida"/>
        <s v="Missouri"/>
        <s v="Kentucky"/>
        <s v="Connecticut"/>
        <s v="Oregon"/>
        <s v="Maryland"/>
        <s v="Utah"/>
        <s v="Indiana"/>
        <s v="New Mexico"/>
        <s v="Pennsylvania"/>
        <s v="District of Columbia"/>
        <s v="New Hampshire"/>
        <s v="Mississippi"/>
        <s v="Rhode Island"/>
        <s v="South Dakota"/>
        <s v="Massachusetts"/>
        <s v="Kansas"/>
        <s v="Arkansas"/>
        <s v="Nebraska"/>
      </sharedItems>
    </cacheField>
    <cacheField name="Postal Code" numFmtId="0">
      <sharedItems containsSemiMixedTypes="0" containsString="0" containsNumber="1" containsInteger="1" minValue="1841" maxValue="99207"/>
    </cacheField>
    <cacheField name="Region" numFmtId="0">
      <sharedItems count="4">
        <s v="South"/>
        <s v="West"/>
        <s v="East"/>
        <s v="Central"/>
      </sharedItems>
    </cacheField>
    <cacheField name="Product ID" numFmtId="0">
      <sharedItems/>
    </cacheField>
    <cacheField name="Category" numFmtId="0">
      <sharedItems count="3">
        <s v="Office Supplies"/>
        <s v="Technology"/>
        <s v="Furniture"/>
      </sharedItems>
    </cacheField>
    <cacheField name="Sub-Category" numFmtId="0">
      <sharedItems count="17">
        <s v="Envelopes"/>
        <s v="Labels"/>
        <s v="Storage"/>
        <s v="Art"/>
        <s v="Accessories"/>
        <s v="Furnishings"/>
        <s v="Tables"/>
        <s v="Phones"/>
        <s v="Bookcases"/>
        <s v="Paper"/>
        <s v="Binders"/>
        <s v="Machines"/>
        <s v="Fasteners"/>
        <s v="Chairs"/>
        <s v="Appliances"/>
        <s v="Copiers"/>
        <s v="Supplies"/>
      </sharedItems>
    </cacheField>
    <cacheField name="Product Name" numFmtId="0">
      <sharedItems count="633">
        <s v="Staple envelope"/>
        <s v="Avery 482"/>
        <s v="Carina Double Wide Media Storage Towers in Natural &amp; Black"/>
        <s v="Newell 312"/>
        <s v="Logitech 910-002974 M325 Wireless Mouse for Web Scrolling"/>
        <s v="DAX Two-Tone Rosewood/Black Document Frame, Desktop, 5 x 7"/>
        <s v="Avery 508"/>
        <s v="Newell 311"/>
        <s v="Balt Solid Wood Round Tables"/>
        <s v="Recycled Steel Personal File for Hanging File Folders"/>
        <s v="Staples in misc. colors"/>
        <s v="Eldon Pizzaz Desk Accessories"/>
        <s v="Avery 505"/>
        <s v="RCA Visys Integrated PBX 8-Line Router"/>
        <s v="Linden 10&quot; Round Wall Clock, Black"/>
        <s v="Sauder Facets Collection Library, Sky Alder Finish"/>
        <s v="Imation 8GB Mini TravelDrive USB 2.0 Flash Drive"/>
        <s v="Xerox 2"/>
        <s v="Wilson Jones Active Use Binders"/>
        <s v="Xerox 1999"/>
        <s v="Logitech G13 Programmable Gameboard with LCD Display"/>
        <s v="Cisco CP-7937G Unified IP Conference Station Phone"/>
        <s v="Fellowes Mobile File Cart, Black"/>
        <s v="Eldon ClusterMat Chair Mat with Cordless Antistatic Protection"/>
        <s v="Xerox 1943"/>
        <s v="Cardinal EasyOpen D-Ring Binders"/>
        <s v="Balt Solid Wood Rectangular Table"/>
        <s v="DAX Value U-Channel Document Frames, Easel Back"/>
        <s v="Anker 36W 4-Port USB Wall Charger Travel Power Adapter for iPhone 5s 5c 5"/>
        <s v="Xerox 1912"/>
        <s v="Executive Impressions 14&quot; Contract Wall Clock"/>
        <s v="Mediabridge Sport Armband iPhone 5s"/>
        <s v="Xerox 1959"/>
        <s v="Samsung Galaxy S4 Mini"/>
        <s v="Innergie mMini Combo Duo USB Travel Charging Kit"/>
        <s v="Staples"/>
        <s v="Memorex Micro Travel Drive 8 GB"/>
        <s v="Global Low Back Tilter Chair"/>
        <s v="GBC Recycled Grain Textured Covers"/>
        <s v="Bush Andora Bookcase, Maple/Graphite Gray Finish"/>
        <s v="Ibico Laser Imprintable Binding System Covers"/>
        <s v="Carina 42&quot;Hx23 3/4&quot;W Media Storage Unit"/>
        <s v="Wilson Jones Easy Flow II Sheet Lifters"/>
        <s v="Fellowes Black Plastic Comb Bindings"/>
        <s v="Kensington 6 Outlet Guardian Standard Surge Protector"/>
        <s v="Enermax Aurora Lite Keyboard"/>
        <s v="Maxell DVD-RAM Discs"/>
        <s v="Global Geo Office Task Chair, Gray"/>
        <s v="Global Leather and Oak Executive Chair, Black"/>
        <s v="Tops Green Bar Computer Printout Paper"/>
        <s v="JBL Micro Wireless Portable Bluetooth Speaker"/>
        <s v="Xerox 1951"/>
        <s v="Sauder Inglewood Library Bookcases"/>
        <s v="Verbatim 25 GB 6x Blu-ray Single Layer Recordable Disc, 25/Pack"/>
        <s v="Acco Suede Grain Vinyl Round Ring Binder"/>
        <s v="Rush Hierlooms Collection 1&quot; Thick Stackable Bookcases"/>
        <s v="Gould Plastics 18-Pocket Panel Bin, 34w x 5-1/4d x 20-1/2h"/>
        <s v="Rogers Handheld Barrel Pencil Sharpener"/>
        <s v="Logitech ClearChat Comfort/USB Headset H390"/>
        <s v="Advantus Panel Wall Acrylic Frame"/>
        <s v="Cameo Buff Policy Envelopes"/>
        <s v="Fellowes Officeware Wire Shelving"/>
        <s v="Binney &amp; Smith Crayola Metallic Colored Pencils, 8-Color Set"/>
        <s v="Hon 4070 Series Pagoda Armless Upholstered Stacking Chairs"/>
        <s v="Chromcraft Round Conference Tables"/>
        <s v="Multimedia Mailers"/>
        <s v="Plantronics Voyager Pro HD - Bluetooth Headset"/>
        <s v="Xerox 1982"/>
        <s v="Newell 316"/>
        <s v="Acco 6 Outlet Guardian Premium Surge Suppressor"/>
        <s v="Xerox 188"/>
        <s v="Zebra Zazzle Fluorescent Highlighters"/>
        <s v="PowerGen Dual USB Car Charger"/>
        <s v="Memorex Froggy Flash Drive 8 GB"/>
        <s v="Tensor Computer Mounted Lamp"/>
        <s v="i.Sound Portable Power - 8000 mAh"/>
        <s v="Logitech Desktop MK120 Mouse and keyboard Combo"/>
        <s v="Global Push Button Manager's Chair, Indigo"/>
        <s v="SmartStand Mobile Device Holder, Assorted Colors"/>
        <s v="Howard Miller 11-1/2&quot; Diameter Brentwood Wall Clock"/>
        <s v="Hot File 7-Pocket, Floor Stand"/>
        <s v="Belkin 8 Outlet SurgeMaster II Gold Surge Protector with Phone Protection"/>
        <s v="Hoover Portapower Portable Vacuum"/>
        <s v="C-Line Peel &amp; Stick Add-On Filing Pockets, 8-3/4 x 5-1/8, 10/Pack"/>
        <s v="Xerox 1883"/>
        <s v="GE General Purpose, Extra Long Life, Showcase &amp; Floodlight Incandescent Bulbs"/>
        <s v="Hon Racetrack Conference Tables"/>
        <s v="Executive Impressions 13&quot; Clairmont Wall Clock"/>
        <s v="Xerox 218"/>
        <s v="Important Message Pads, 50 4-1/4 x 5-1/2 Forms per Pad"/>
        <s v="Xerox 205"/>
        <s v="Belkin iPhone and iPad Lightning Cable"/>
        <s v="SimpliFile Personal File, Black Granite, 15w x 6-15/16d x 11-1/4h"/>
        <s v="Belkin 7 Outlet SurgeMaster Surge Protector with Phone Protection"/>
        <s v="Xerox 1980"/>
        <s v="Global Deluxe High-Back Manager's Chair"/>
        <s v="Acco Smartsocket Color-Coded Six-Outlet AC Adapter Model Surge Protectors"/>
        <s v="Iceberg Nesting Folding Chair, 19w x 6d x 43h"/>
        <s v="Newell 337"/>
        <s v="Atlantic Metals Mobile 2-Shelf Bookcases, Custom Colors"/>
        <s v="Panasonic KX-TG9471B"/>
        <s v="Imation Bio 8GB USB Flash Drive Imation Corp"/>
        <s v="Multicolor Computer Printout Paper"/>
        <s v="Newell 345"/>
        <s v="Plantronics S12 Corded Telephone Headset System"/>
        <s v="GBC ProClick 150 Presentation Binding System"/>
        <s v="AT&amp;T 841000 Phone"/>
        <s v="Eldon Wave Desk Accessories"/>
        <s v="Hewlett Packard 610 Color Digital Copier / Printer"/>
        <s v="Maxell 4.7GB DVD-R"/>
        <s v="Staple-based wall hangings"/>
        <s v="Xerox 1881"/>
        <s v="Eldon Stackable Tray, Side-Load, Legal, Smoke"/>
        <s v="Holmes Odor Grabber"/>
        <s v="Bevis Steel Folding Chairs"/>
        <s v="Dax Clear Box Frame"/>
        <s v="Large Capacity Hanging Post Binders"/>
        <s v="Sauder Barrister Bookcases"/>
        <s v="Color-Coded Legal Exhibit Labels"/>
        <s v="Wilson Jones Hanging Recycled Pressboard Data Binders"/>
        <s v="DIXON Ticonderoga Erasable Checking Pencils"/>
        <s v="Wirebound Message Books, Two 4 1/4&quot; x 5&quot; Forms per Page"/>
        <s v="Nortel Meridian M3904 Professional Digital phone"/>
        <s v="Laminate Occasional Tables"/>
        <s v="Belkin F9H710-06 7 Outlet SurgeMaster Surge Protector"/>
        <s v="Eaton Premium Continuous-Feed Paper, 25% Cotton, Letter Size, White, 1000 Shts/Box"/>
        <s v="Dixon Ticonderoga Erasable Colored Pencil Set, 12-Color"/>
        <s v="Hoover Shoulder Vac Commercial Portable Vacuum"/>
        <s v="Xerox 1894"/>
        <s v="Xerox 1884"/>
        <s v="SanDisk Ultra 64 GB MicroSDHC Class 10 Memory Card"/>
        <s v="Acco 7-Outlet Masterpiece Power Center, Wihtout Fax/Phone Line Protection"/>
        <s v="High-Back Leather Manager's Chair"/>
        <s v="Safco Industrial Wire Shelving"/>
        <s v="12-1/2 Diameter Round Wall Clock"/>
        <s v="Global Stack Chair without Arms, Black"/>
        <s v="Eldon Executive Woodline II Desk Accessories, Mahogany"/>
        <s v="Acco 3-Hole Punch"/>
        <s v="Prang Drawing Pencil Set"/>
        <s v="GBC DocuBind 300 Electric Binding Machine"/>
        <s v="Eldon Portable Mobile Manager"/>
        <s v="Nortel Meridian M5316 Digital phone"/>
        <s v="Bevis 44 x 96 Conference Tables"/>
        <s v="APC 7 Outlet Network SurgeArrest Surge Protector"/>
        <s v="Insertable Tab Post Binder Dividers"/>
        <s v="Eldon Expressions Punched Metal &amp; Wood Desk Accessories, Black &amp; Cherry"/>
        <s v="Xerox 1985"/>
        <s v="Global Value Mid-Back Manager's Chair, Gray"/>
        <s v="Newell 325"/>
        <s v="SAFCO PlanMaster Heigh-Adjustable Drafting Table Base, 43w x 30d x 30-37h, Black"/>
        <s v="Office Star - Mid Back Dual function Ergonomic High Back Chair with 2-Way Adjustable Arms"/>
        <s v="Acco Pressboard Covers with Storage Hooks, 14 7/8&quot; x 11&quot;, Light Blue"/>
        <s v="Pizazz Global Quick File"/>
        <s v="Stackable Trays"/>
        <s v="HON 5400 Series Task Chairs for Big and Tall"/>
        <s v="Newell 324"/>
        <s v="Ultra Door Kickplate, 8&quot;H x 34&quot;W"/>
        <s v="Bionaire 99.97% HEPA Air Cleaner"/>
        <s v="Xerox 1967"/>
        <s v="Faber Castell Col-Erase Pencils"/>
        <s v="Westinghouse Clip-On Gooseneck Lamps"/>
        <s v="Angle-D Ring Binders"/>
        <s v="Super Decoflex Portable Personal File"/>
        <s v="Nortel Networks T7316 E Nt8 B27"/>
        <s v="Google Nexus 5"/>
        <s v="Belkin Premiere Surge Master II 8-outlet surge protector"/>
        <s v="Bionaire Personal Warm Mist Humidifier/Vaporizer"/>
        <s v="Multi-Use Personal File Cart and Caster Set, Three Stacking Bins"/>
        <s v="Lesro Sheffield Collection Coffee Table, End Table, Center Table, Corner Table"/>
        <s v="Boston School Pro Electric Pencil Sharpener, 1670"/>
        <s v="24-Hour Round Wall Clock"/>
        <s v="Computer Printout Index Tabs"/>
        <s v="Panasonic KP-380BK Classic Electric Pencil Sharpener"/>
        <s v="Kensington 4 Outlet MasterPiece Compact Power Control Center"/>
        <s v="Eldon Image Series Desk Accessories, Ebony"/>
        <s v="Fellowes Binding Cases"/>
        <s v="SAFCO Commercial Wire Shelving, Black"/>
        <s v="Xerox 1909"/>
        <s v="Fellowes PB300 Plastic Comb Binding Machine"/>
        <s v="Weyerhaeuser First Choice Laser/Copy Paper (20Lb. and 88 Bright)"/>
        <s v="Home/Office Personal File Carts"/>
        <s v="Logitech B530 USB Headset - headset - Full size, Binaural"/>
        <s v="3M Hangers With Command Adhesive"/>
        <s v="Harmony Air Purifier"/>
        <s v="Acco 6 Outlet Guardian Basic Surge Suppressor"/>
        <s v="Xerox 1965"/>
        <s v="Kingston Digital DataTraveler 32GB USB 2.0"/>
        <s v="Fashion Color Clasp Envelopes"/>
        <s v="Cisco Unified IP Phone 7945G VoIP phone"/>
        <s v="Wirebound Service Call Books, 5 1/2&quot; x 4&quot;"/>
        <s v="Electrix Halogen Magnifier Lamp"/>
        <s v="Eldon Expressions Mahogany Wood Desk Collection"/>
        <s v="Canon Imageclass D680 Copier / Fax"/>
        <s v="Imation 16GB Mini TravelDrive USB 2.0 Flash Drive"/>
        <s v="Fellowes Super Stor/Drawer"/>
        <s v="Vinyl Sectional Post Binders"/>
        <s v="Southworth 25% Cotton Antique Laid Paper &amp; Envelopes"/>
        <s v="Sony Micro Vault Click 8 GB USB 2.0 Flash Drive"/>
        <s v="Electrix 20W Halogen Replacement Bulb for Zoom-In Desk Lamp"/>
        <s v="Xerox 1930"/>
        <s v="Xerox 1920"/>
        <s v="Prang Colored Pencils"/>
        <s v="GBC Standard Therm-A-Bind Covers"/>
        <s v="Alphabetical Labels for Top Tab Filing"/>
        <s v="Snap-A-Way Black Print Carbonless Ruled Speed Letter, Triplicate"/>
        <s v="HTC One Mini"/>
        <s v="Square Credit Card Reader"/>
        <s v="Imation 8gb Micro Traveldrive Usb 2.0 Flash Drive"/>
        <s v="Situations Contoured Folding Chairs, 4/Set"/>
        <s v="Luxo Professional Magnifying Clamp-On Fluorescent Lamps"/>
        <s v="Xerox 1957"/>
        <s v="Xerox 1895"/>
        <s v="Cush Cases Heavy Duty Rugged Cover Case for Samsung Galaxy S5 - Purple"/>
        <s v="Compact Automatic Electric Letter Opener"/>
        <s v="TOPS Voice Message Log Book, Flash Format"/>
        <s v="Staple remover"/>
        <s v="Woodgrain Magazine Files by Perma"/>
        <s v="Xerox 1997"/>
        <s v="Bulldog Vacuum Base Pencil Sharpener"/>
        <s v="Razer Kraken PRO Over Ear PC and Music Headset"/>
        <s v="Trimflex Flexible Post Binders"/>
        <s v="Xerox 1934"/>
        <s v="Dixon My First Ticonderoga Pencil, #2"/>
        <s v="Canon Color ImageCLASS MF8580Cdw Wireless Laser All-In-One Printer, Copier, Scanner"/>
        <s v="GBC Clear Cover, 8-1/2 x 11, unpunched, 25 covers per pack"/>
        <s v="Southworth 25% Cotton Linen-Finish Paper &amp; Envelopes"/>
        <s v="Eureka Disposable Bags for Sanitaire Vibra Groomer I Upright Vac"/>
        <s v="Aluminum Screw Posts"/>
        <s v="Artistic Insta-Plaque"/>
        <s v="1.7 Cubic Foot Compact &quot;Cube&quot; Office Refrigerators"/>
        <s v="Bretford CR4500 Series Slim Rectangular Table"/>
        <s v="Eldon 200 Class Desk Accessories, Burgundy"/>
        <s v="DIXON Oriole Pencils"/>
        <s v="Wilson Jones 1&quot; Hanging DublLock Ring Binders"/>
        <s v="Acme Tagit Stainless Steel Antibacterial Scissors"/>
        <s v="Easy-staple paper"/>
        <s v="Padded Folding Chairs, Black, 4/Carton"/>
        <s v="Wirebound Message Books, 2 7/8&quot; x 5&quot;, 3 Forms per Page"/>
        <s v="Cisco Small Business SPA 502G VoIP phone"/>
        <s v="Bush Heritage Pine Collection 5-Shelf Bookcase, Albany Pine Finish, *Special Order"/>
        <s v="GBC Recycled Regency Composition Covers"/>
        <s v="Global Leather Executive Chair"/>
        <s v="3-ring staple pack"/>
        <s v="Belkin 325VA UPS Surge Protector, 6'"/>
        <s v="Eldon Antistatic Chair Mats for Low to Medium Pile Carpets"/>
        <s v="Avery 473"/>
        <s v="Eldon Expressions Wood and Plastic Desk Accessories, Cherry Wood"/>
        <s v="Self-Adhesive Address Labels for Typewriters by Universal"/>
        <s v="Sony 32GB Class 10 Micro SDHC R40 Memory Card"/>
        <s v="Xerox 203"/>
        <s v="Message Book, Standard Line &quot;While You Were Out&quot;, 5 1/2&quot; X 4&quot;, 200 Sets/Book"/>
        <s v="Tuf-Vin Binders"/>
        <s v="Wilson Jones Century Plastic Molded Ring Binders"/>
        <s v="Sony 64GB Class 10 Micro SDHC R40 Memory Card"/>
        <s v="Quartet Omega Colored Chalk, 12/Pack"/>
        <s v="Newell 326"/>
        <s v="Ibico Plastic Spiral Binding Combs"/>
        <s v="Rediform Wirebound &quot;Phone Memo&quot; Message Book, 11 x 5-3/4"/>
        <s v="Ampad Phone Message Book, Recycled, 400 Message Capacity, 5 ¾” x 11”"/>
        <s v="Pyle PRT45 Retro Home Telephone"/>
        <s v="Wilson Jones Impact Binders"/>
        <s v="Things To Do Today Spiral Book"/>
        <s v="Bevis Round Conference Table Top, X-Base"/>
        <s v="GE 48&quot; Fluorescent Tube, Cool White Energy Saver, 34 Watts, 30/Box"/>
        <s v="HP Standard 104 key PS/2 Keyboard"/>
        <s v="Zipper Ring Binder Pockets"/>
        <s v="GBC Standard Plastic Binding Systems Combs"/>
        <s v="Office Star - Ergonomically Designed Knee Chair"/>
        <s v="G.E. Halogen Desk Lamp Bulbs"/>
        <s v="Xerox 1896"/>
        <s v="Plymouth Boxed Rubber Bands by Plymouth"/>
        <s v="Avery 486"/>
        <s v="Wilson Jones Custom Binder Spines &amp; Labels"/>
        <s v="GBC Instant Report Kit"/>
        <s v="4009 Highlighters by Sanford"/>
        <s v="Eldon 200 Class Desk Accessories, Smoke"/>
        <s v="Quartet Alpha White Chalk, 12/Pack"/>
        <s v="Economy Rollaway Files"/>
        <s v="Wilson Jones DublLock D-Ring Binders"/>
        <s v="Hon Olson Stacker Stools"/>
        <s v="Global Deluxe Stacking Chair, Gray"/>
        <s v="Self-Adhesive Removable Labels"/>
        <s v="Mophie Juice Pack Helium for iPhone"/>
        <s v="Acme Stainless Steel Office Snips"/>
        <s v="Xerox 1931"/>
        <s v="Novimex High-Tech Fabric Mesh Task Chair"/>
        <s v="Trav-L-File Heavy-Duty Shuttle II, Black"/>
        <s v="Personal Filing Tote with Lid, Black/Gray"/>
        <s v="Tuff Stuff Recycled Round Ring Binders"/>
        <s v="Deflect-o SuperTray Unbreakable Stackable Tray, Letter, Black"/>
        <s v="Cardinal Holdit Data Disk Pockets"/>
        <s v="Sterilite Officeware Hinged File Box"/>
        <s v="GBC Laser Imprintable Binding System Covers, Desert Sand"/>
        <s v="Newell 334"/>
        <s v="Acco D-Ring Binder w/DublLock"/>
        <s v="Personal Folder Holder, Ebony"/>
        <s v="Pressboard Covers with Storage Hooks, 9 1/2&quot; x 11&quot;, Light Blue"/>
        <s v="Binney &amp; Smith inkTank Erasable Desk Highlighter, Chisel Tip, Yellow, 12/Box"/>
        <s v="Cisco SPA 502G IP Phone"/>
        <s v="Gould Plastics 9-Pocket Panel Bin, 18-3/8w x 5-1/4d x 20-1/2h, Black"/>
        <s v="Acme Softgrip Scissors"/>
        <s v="Wilson SignalBoost 841262 DB PRO Amplifier Kit"/>
        <s v="Westinghouse Floor Lamp with Metal Mesh Shade, Black"/>
        <s v="Premium Writing Pencils, Soft, #2 by Central Association for the Blind"/>
        <s v="NETGEAR AC1750 Dual Band Gigabit Smart WiFi Router"/>
        <s v="Eldon Base for stackable storage shelf, platinum"/>
        <s v="GBC Twin Loop Wire Binding Elements"/>
        <s v="Hewlett Packard LaserJet 3310 Copier"/>
        <s v="OIC Bulk Pack Metal Binder Clips"/>
        <s v="Fellowes Super Stor/Drawer Files"/>
        <s v="Wilson Jones data.warehouse D-Ring Binders with DublLock"/>
        <s v="Adams Phone Message Book, Professional, 400 Message Capacity, 5 3/6” x 11”"/>
        <s v="Avery 494"/>
        <s v="BoxOffice By Design Rectangular and Half-Moon Meeting Room Tables"/>
        <s v="Nokia Lumia 521 (T-Mobile)"/>
        <s v="SanDisk Ultra 32 GB MicroSDHC Class 10 Memory Card"/>
        <s v="GBC DocuBind TL200 Manual Binding Machine"/>
        <s v="Avery Personal Creations Heavyweight Cards"/>
        <s v="Martin-Yale Premier Letter Opener"/>
        <s v="Prang Dustless Chalk Sticks"/>
        <s v="Office Impressions End Table, 20-1/2&quot;H x 24&quot;W x 20&quot;D"/>
        <s v="Newell 336"/>
        <s v="Tripp Lite Isotel 8 Ultra 8 Outlet Metal Surge"/>
        <s v="GBC Standard Recycled Report Covers, Clear Plastic Sheets"/>
        <s v="Premium Transparent Presentation Covers by GBC"/>
        <s v="Newell Chalk Holder"/>
        <s v="DAX Metal Frame, Desktop, Stepped-Edge"/>
        <s v="Adams Phone Message Book, 200 Message Capacity, 8 1/16” x 11”"/>
        <s v="Newell 341"/>
        <s v="Fellowes Superior 10 Outlet Split Surge Protector"/>
        <s v="Plantronics CS510 - Over-the-Head monaural Wireless Headset System"/>
        <s v="Barricks 18&quot; x 48&quot; Non-Folding Utility Table with Bottom Storage Shelf"/>
        <s v="White Computer Printout Paper by Universal"/>
        <s v="G.E. Longer-Life Indoor Recessed Floodlight Bulbs"/>
        <s v="Aastra 57i VoIP phone"/>
        <s v="Hon Multipurpose Stacking Arm Chairs"/>
        <s v="Acme 10&quot; Easy Grip Assistive Scissors"/>
        <s v="Xerox 1940"/>
        <s v="OIC Colored Binder Clips, Assorted Sizes"/>
        <s v="Sanford Uni-Blazer View Highlighters, Chisel Tip, Yellow"/>
        <s v="Logitech diNovo Edge Keyboard"/>
        <s v="AT&amp;T 1070 Corded Phone"/>
        <s v="Atlantic Metals Mobile 3-Shelf Bookcases, Custom Colors"/>
        <s v="Bevis Boat-Shaped Conference Table"/>
        <s v="Harbour Creations Steel Folding Chair"/>
        <s v="ShoreTel ShorePhone IP 230 VoIP phone"/>
        <s v="GE DSL Phone Line Filter"/>
        <s v="Avery 499"/>
        <s v="Lexmark MX611dhe Monochrome Laser Printer"/>
        <s v="Crayola Anti Dust Chalk, 12/Pack"/>
        <s v="Petty Cash Envelope"/>
        <s v="Xerox 1887"/>
        <s v="Memorex Mini Travel Drive 8 GB USB 2.0 Flash Drive"/>
        <s v="Turquoise Lead Holder with Pocket Clip"/>
        <s v="Xerox 220"/>
        <s v="Aastra 6757i CT Wireless VoIP phone"/>
        <s v="Jet-Pak Recycled Peel 'N' Seal Padded Mailers"/>
        <s v="Prestige Round Ring Binders"/>
        <s v="Avery Binding System Hidden Tab Executive Style Index Sets"/>
        <s v="Deflect-o DuraMat Lighweight, Studded, Beveled Mat for Low Pile Carpeting"/>
        <s v="Advantus 10-Drawer Portable Organizer, Chrome Metal Frame, Smoke Drawers"/>
        <s v="Panasonic Kx-TS550"/>
        <s v="Riverside Palais Royal Lawyers Bookcase, Royale Cherry Finish"/>
        <s v="Eberhard Faber 3 1/2&quot; Golf Pencils"/>
        <s v="GBC Wire Binding Strips"/>
        <s v="Memorex Froggy Flash Drive 4 GB"/>
        <s v="Xerox 202"/>
        <s v="GBC Prestige Therm-A-Bind Covers"/>
        <s v="O'Sullivan 2-Shelf Heavy-Duty Bookcases"/>
        <s v="Kensington 7 Outlet MasterPiece Power Center with Fax/Phone Line Protection"/>
        <s v="Deluxe Heavy-Duty Vinyl Round Ring Binder"/>
        <s v="Office Star - Professional Matrix Back Chair with 2-to-1 Synchro Tilt and Mesh Fabric Seat"/>
        <s v="ACCOHIDE Binder by Acco"/>
        <s v="Adams Telephone Message Book w/Frequently-Called Numbers Space, 400 Messages per Book"/>
        <s v="Xerox 217"/>
        <s v="Xerox Color Copier Paper, 11&quot; x 17&quot;, Ream"/>
        <s v="Kensington 7 Outlet MasterPiece HOMEOFFICE Power Control Center"/>
        <s v="Nontoxic Chalk"/>
        <s v="BIC Brite Liner Highlighters"/>
        <s v="Xerox 1984"/>
        <s v="Wausau Papers Astrobrights Colored Envelopes"/>
        <s v="Chromcraft Bull-Nose Wood Oval Conference Tables &amp; Bases"/>
        <s v="Belkin 8 Outlet SurgeMaster II Gold Surge Protector"/>
        <s v="Newell 343"/>
        <s v="Howard Miller 13-3/4&quot; Diameter Brushed Chrome Round Wall Clock"/>
        <s v="Xerox 1913"/>
        <s v="Fellowes Basic Home/Office Series Surge Protectors"/>
        <s v="Premier Elliptical Ring Binder, Black"/>
        <s v="GBC Instant Index System for Binding Systems"/>
        <s v="Tenex &quot;The Solids&quot; Textured Chair Mats"/>
        <s v="Adams Telephone Message Book W/Dividers/Space For Phone Numbers, 5 1/4&quot;X8 1/2&quot;, 200/Messages"/>
        <s v="Newell 328"/>
        <s v="Xerox 1908"/>
        <s v="BOSTON Model 1800 Electric Pencil Sharpeners, Putty/Woodgrain"/>
        <s v="Xerox 1897"/>
        <s v="Storex Dura Pro Binders"/>
        <s v="OIC Binder Clips"/>
        <s v="Global Troy Executive Leather Low-Back Tilter"/>
        <s v="Pencil and Crayon Sharpener"/>
        <s v="#10- 4 1/8&quot; x 9 1/2&quot; Security-Tint Envelopes"/>
        <s v="Master Caster Door Stop, Brown"/>
        <s v="Sabrent 4-Port USB 2.0 Hub"/>
        <s v="Maxell 4.7GB DVD+RW 3/Pack"/>
        <s v="Polycom CX600 IP Phone VoIP phone"/>
        <s v="RSVP Cards &amp; Envelopes, Blank White, 8-1/2&quot; X 11&quot;, 24 Cards/25 Envelopes/Set"/>
        <s v="GBC Ibimaster 500 Manual ProClick Binding System"/>
        <s v="Avery Address/Shipping Labels for Typewriters, 4&quot; x 2&quot;"/>
        <s v="Avery 483"/>
        <s v="Xerox 1960"/>
        <s v="Epson WorkForce WF-2530 All-in-One Printer, Copier Scanner"/>
        <s v="Avery Durable Binders"/>
        <s v="Luxo Professional Combination Clamp-On Lamps"/>
        <s v="Xerox 1972"/>
        <s v="Manila Recycled Extra-Heavyweight Clasp Envelopes, 6&quot; x 9&quot;"/>
        <s v="Tenex Chairmats For Use With Carpeted Floors"/>
        <s v="Ampad Gold Fibre Wirebound Steno Books, 6&quot; x 9&quot;, Gregg Ruled"/>
        <s v="Personal Creations Ink Jet Cards and Labels"/>
        <s v="Eldon Gobal File Keepers"/>
        <s v="Sauder Cornerstone Collection Library"/>
        <s v="C-Line Cubicle Keepers Polyproplyene Holder With Velcro Backings"/>
        <s v="Leather Task Chair, Black"/>
        <s v="Decoflex Hanging Personal Folder File, Blue"/>
        <s v="Sanitaire Vibra Groomer IR Commercial Upright Vacuum, Replacement Belts"/>
        <s v="Laser &amp; Ink Jet Business Envelopes"/>
        <s v="Westinghouse Mesh Shade Clip-On Gooseneck Lamp, Black"/>
        <s v="Motorola Droid Maxx"/>
        <s v="Design Ebony Sketching Pencil"/>
        <s v="Wilson Jones “Snap” Scratch Pad Binder Tool for Ring Binders"/>
        <s v="SAFCO Mobile Desk Side File, Wire Frame"/>
        <s v="Logitech LS21 Speaker System - PC Multimedia - 2.1-CH - Wired"/>
        <s v="Chromcraft Rectangular Conference Tables"/>
        <s v="GBC Durable Plastic Covers"/>
        <s v="SAFCO Boltless Steel Shelving"/>
        <s v="GBC DocuBind TL300 Electric Binding System"/>
        <s v="Post-it “Important Message” Note Pad, Neon Colors, 50 Sheets/Pad"/>
        <s v="Southworth Structures Collection"/>
        <s v="Logitech Gaming G510s - Keyboard"/>
        <s v="Jawbone JAMBOX Wireless Bluetooth Speaker"/>
        <s v="Seth Thomas 14&quot; Putty-Colored Wall Clock"/>
        <s v="Acco PRESSTEX Data Binder with Storage Hooks, Dark Blue, 14 7/8&quot; X 11&quot;"/>
        <s v="WD My Passport Ultra 2TB Portable External Hard Drive"/>
        <s v="Eldon 200 Class Desk Accessories"/>
        <s v="Boston 16801 Nautilus Battery Pencil Sharpener"/>
        <s v="Canon imageCLASS 2200 Advanced Copier"/>
        <s v="Aluminum Document Frame"/>
        <s v="Xerox 195"/>
        <s v="2300 Heavy-Duty Transfer File Systems by Perma"/>
        <s v="Global High-Back Leather Tilter, Burgundy"/>
        <s v="Novimex Fabric Task Chair"/>
        <s v="Xerox 1989"/>
        <s v="Avery 512"/>
        <s v="I Need's 3d Hello Kitty Hybrid Silicone Case Cover for HTC One X 4g with 3d Hello Kitty Stylus Pen Green/pink"/>
        <s v="Global Commerce Series High-Back Swivel/Tilt Chairs"/>
        <s v="Things To Do Today Pad"/>
        <s v="XtraLife ClearVue Slant-D Ring Binder, White, 3&quot;"/>
        <s v="Rogers Jumbo File, Granite"/>
        <s v="Logitech G430 Surround Sound Gaming Headset with Dolby 7.1 Technology"/>
        <s v="Plantronics Cordless Phone Headset with In-line Volume - M214C"/>
        <s v="Avanti 1.7 Cu. Ft. Refrigerator"/>
        <s v="Avery 500"/>
        <s v="Apple iPhone 5S"/>
        <s v="Poly String Tie Envelopes"/>
        <s v="Avoid Verbal Orders Carbonless Minifold Book"/>
        <s v="Office Star - Mesh Screen back chair with Vinyl seat"/>
        <s v="Hon 5100 Series Wood Tables"/>
        <s v="Atlantic Metals Mobile 4-Shelf Bookcases, Custom Colors"/>
        <s v="Seth Thomas 16&quot; Steel Case Clock"/>
        <s v="Panasonic KP-310 Heavy-Duty Electric Pencil Sharpener"/>
        <s v="SAFCO Folding Chair Trolley"/>
        <s v="Magna Visual Magnetic Picture Hangers"/>
        <s v="GBC Velobind Prepunched Cover Sets, Regency Series"/>
        <s v="Imation USB 2.0 Swivel Flash Drive USB flash drive - 4 GB - Pink"/>
        <s v="Executive Impressions Supervisor Wall Clock"/>
        <s v="Cubify CubeX 3D Printer Triple Head Print"/>
        <s v="Avery Durable Slant Ring Binders, No Labels"/>
        <s v="Avery Hanging File Binders"/>
        <s v="Advantus T-Pin Paper Clips"/>
        <s v="Xerox 221"/>
        <s v="Boston Electric Pencil Sharpener, Model 1818, Charcoal Black"/>
        <s v="Executive Impressions 12&quot; Wall Clock"/>
        <s v="Howard Miller 12-3/4 Diameter Accuwave DS  Wall Clock"/>
        <s v="Xerox 211"/>
        <s v="Eldon 100 Class Desk Accessories"/>
        <s v="File Shuttle I and Handi-File"/>
        <s v="Global Manager's Adjustable Task Chair, Storm"/>
        <s v="Avery Printable Repositionable Plastic Tabs"/>
        <s v="PureGear Roll-On Screen Protector"/>
        <s v="Newell 332"/>
        <s v="Avery 52"/>
        <s v="Global Task Chair, Black"/>
        <s v="Executive Impressions 13&quot; Chairman Wall Clock"/>
        <s v="Hunt PowerHouse Electric Pencil Sharpener, Blue"/>
        <s v="XtraLife ClearVue Slant-D Ring Binders by Cardinal"/>
        <s v="Tenex Personal Filing Tote With Secure Closure Lid, Black/Frost"/>
        <s v="Global Wood Trimmed Manager's Task Chair, Khaki"/>
        <s v="Griffin GC17055 Auxiliary Audio Cable"/>
        <s v="Eldon Image Series Black Desk Accessories"/>
        <s v="Telephone Message Books with Fax/Mobile Section, 5 1/2&quot; x 3 3/16&quot;"/>
        <s v="Holmes Replacement Filter for HEPA Air Cleaner, Very Large Room, HEPA Filter"/>
        <s v="Flexible Leather- Look Classic Collection Ring Binder"/>
        <s v="9-3/4 Diameter Round Wall Clock"/>
        <s v="Southworth 100% Résumé Paper, 24lb."/>
        <s v="Round Ring Binders"/>
        <s v="Memorex Micro Travel Drive 32 GB"/>
        <s v="Coloredge Poster Frame"/>
        <s v="Xerox 191"/>
        <s v="Logitech K350 2.4Ghz Wireless Keyboard"/>
        <s v="Verbatim 25 GB 6x Blu-ray Single Layer Recordable Disc, 3/Pack"/>
        <s v="Safco Contoured Stacking Chairs"/>
        <s v="Adams Telephone Message Books, 5 1/4” x 11”"/>
        <s v="Boston 19500 Mighty Mite Electric Pencil Sharpener"/>
        <s v="Stur-D-Stor Shelving, Vertical 5-Shelf: 72&quot;H x 36&quot;W x 18 1/2&quot;D"/>
        <s v="Apple iPhone 5"/>
        <s v="Bush Somerset Collection Bookcase"/>
        <s v="3M Organizer Strips"/>
        <s v="Newell 333"/>
        <s v="Stockwell Gold Paper Clips"/>
        <s v="Newell 3-Hole Punched Plastic Slotted Magazine Holders for Binders"/>
        <s v="Southworth 25% Cotton Granite Paper &amp; Envelopes"/>
        <s v="Adams Telephone Message Book W/Dividers/Space For Phone Numbers, 5 1/4&quot;X8 1/2&quot;, 300/Messages"/>
        <s v="Fellowes PB200 Plastic Comb Binding Machine"/>
        <s v="Avery 488"/>
        <s v="Office Star Flex Back Scooter Chair with White Frame"/>
        <s v="Cisco IP Phone 7961G-GE VoIP phone"/>
        <s v="Memorex Mini Travel Drive 16 GB USB 2.0 Flash Drive"/>
        <s v="Avery Durable Slant Ring Binders With Label Holder"/>
        <s v="Eldon Delta Triangular Chair Mat, 52&quot; x 58&quot;, Clear"/>
        <s v="AT&amp;T TR1909W"/>
        <s v="Avery Poly Binder Pockets"/>
        <s v="DMI Arturo Collection Mission-style Design Wood Chair"/>
        <s v="Telescoping Adjustable Floor Lamp"/>
        <s v="Peel &amp; Stick Add-On Corner Pockets"/>
        <s v="Xerox 4200 Series MultiUse Premium Copy Paper (20Lb. and 84 Bright)"/>
        <s v="Decoflex Hanging Personal Folder File"/>
        <s v="Microsoft Sculpt Comfort Mouse"/>
        <s v="Luxo Economy Swing Arm Lamp"/>
        <s v="Floodlight Indoor Halogen Bulbs, 1 Bulb per Pack, 60 Watts"/>
        <s v="Tyvek  Top-Opening Peel &amp; Seel  Envelopes, Gray"/>
        <s v="Kingston Digital DataTraveler 16GB USB 2.0"/>
        <s v="Safco Drafting Table"/>
        <s v="While You Were Out Pads, 50 per Pad, 4 x 5 1/4, Green Cycle"/>
        <s v="Redi-Strip #10 Envelopes, 4 1/8 x 9 1/2"/>
        <s v="Acme Forged Steel Scissors with Black Enamel Handles"/>
        <s v="LF Elite 3D Dazzle Designer Hard Case Cover, Lf Stylus Pen and Wiper For Apple Iphone 5c Mini Lite"/>
        <s v="Bevis Rectangular Conference Tables"/>
        <s v="Crayola Colored Pencils"/>
        <s v="Avery 519"/>
        <s v="Bevis Round Bullnose 29&quot; High Table Top"/>
        <s v="Hon Practical Foundations 30 x 60 Training Table, Light Gray/Charcoal"/>
        <s v="Polycom SoundPoint Pro SE-225 Corded phone"/>
        <s v="Advantus SlideClip Paper Clips"/>
        <s v="Advantus Plastic Paper Clips"/>
        <s v="Wilson Jones International Size A4 Ring Binders"/>
        <s v="BIC Brite Liner Grip Highlighters, Assorted, 5/Pack"/>
        <s v="Newell 340"/>
        <s v="Fellowes PB500 Electric Punch Plastic Comb Binding Machine with Manual Bind"/>
        <s v="Global Leather Highback Executive Chair with Pneumatic Height Adjustment, Black"/>
        <s v="Jackery Bar Premium Fast-charging Portable Charger"/>
        <s v="Adjustable Depth Letter/Legal Cart"/>
        <s v="Safco Commercial Shelving"/>
        <s v="Memorex Micro Travel Drive 4 GB"/>
        <s v="Newell 31"/>
        <s v="Xerox 1921"/>
        <s v="Eureka The Boss Cordless Rechargeable Stick Vac"/>
        <s v="Pastel Pink Envelopes"/>
        <s v="GE 30524EE4"/>
        <s v="#10-4 1/8&quot; x 9 1/2&quot; Premium Diagonal Seam Envelopes"/>
        <s v="Eureka The Boss Plus 12-Amp Hard Box Upright Vacuum, Red"/>
        <s v="ARKON Windshield Dashboard Air Vent Car Mount Holder"/>
        <s v="Tennsco Regal Shelving Units"/>
        <s v="Howard Miller 13&quot; Diameter Pewter Finish Round Wall Clock"/>
        <s v="Fellowes Personal Hanging Folder Files, Navy"/>
        <s v="Eureka Recycled Copy Paper 8 1/2&quot; x 11&quot;, Ream"/>
        <s v="Motorola HK250 Universal Bluetooth Headset"/>
        <s v="Cisco SPA301"/>
        <s v="Alliance Big Bands Rubber Bands, 12/Pack"/>
        <s v="Cardinal Slant-D Ring Binder, Heavy Gauge Vinyl"/>
        <s v="Newell 318"/>
        <s v="Acco Four Pocket Poly Ring Binder with Label Holder, Smoke, 1&quot;"/>
        <s v="GBC VeloBinder Electric Binding Machine"/>
        <s v="ClearOne CHATAttach 160 - speaker phone"/>
        <s v="Newell 327"/>
        <s v="Howard Miller 13&quot; Diameter Goldtone Round Wall Clock"/>
        <s v="Hunt BOSTON Model 1606 High-Volume Electric Pencil Sharpener, Beige"/>
        <s v="Master Giant Foot Doorstop, Safety Yellow"/>
        <s v="GBC Plastic Binding Combs"/>
        <s v="Bevis 36 x 72 Conference Tables"/>
        <s v="Sanford Colorific Eraseable Coloring Pencils, 12 Count"/>
        <s v="Eldon Expressions Wood Desk Accessories, Oak"/>
        <s v="Universal Premium White Copier/Laser Paper (20Lb. and 87 Bright)"/>
        <s v="Magnifier Swing Arm Lamp"/>
        <s v="Polycom SoundStation2 EX Conference phone"/>
        <s v="SpineVue Locking Slant-D Ring Binders by Cardinal"/>
        <s v="Staple holder"/>
        <s v="Xerox 1888"/>
        <s v="Lenovo 17-Key USB Numeric Keypad"/>
        <s v="Stanley Bostitch Contemporary Electric Pencil Sharpeners"/>
        <s v="Xerox 213"/>
        <s v="Xerox 214"/>
        <s v="Adams Write n' Stick Phone Message Book, 11&quot; X 5 1/4&quot;, 200 Messages"/>
        <s v="Xerox 219"/>
        <s v="Avery Binder Labels"/>
        <s v="Lexmark MarkNet N8150 Wireless Print Server"/>
        <s v="Sanyo 2.5 Cubic Foot Mid-Size Office Refrigerators"/>
        <s v="Angle-D Binders with Locking Rings, Label Holders"/>
        <s v="Xerox 1974"/>
        <s v="Lifetime Advantage Folding Chairs, 4/Carton"/>
        <s v="Tenex File Box, Personal Filing Tote with Lid, Black"/>
        <s v="Tennsco Lockers, Gray"/>
        <s v="Strathmore #10 Envelopes, Ultimate White"/>
        <s v="Dot Matrix Printer Tape Reel Labels, White, 5000/Box"/>
        <s v="Nortel Business Series Terminal T7208 Digital phone"/>
        <s v="Hon Non-Folding Utility Tables"/>
        <s v="Wirebound Message Books, Four 2 3/4 x 5 White Forms per Page"/>
        <s v="Advantus Push Pins"/>
        <s v="Eureka Sanitaire  Commercial Upright"/>
        <s v="Razer Tiamat Over Ear 7.1 Surround Sound PC Gaming Headset"/>
        <s v="Staple-on labels"/>
        <s v="Logitech Wireless Performance Mouse MX for PC and Mac"/>
        <s v="Companion Letter/Legal File, Black"/>
        <s v="Xerox 1950"/>
        <s v="Xerox 1964"/>
        <s v="Hoover Commercial Soft Guard Upright Vacuum And Disposable Filtration Bags"/>
        <s v="Economy Binders"/>
        <s v="Newell 309"/>
        <s v="Cisco SPA112 2 Port Phone Adapter"/>
        <s v="DAX Charcoal/Nickel-Tone Document Frame, 5 x 7"/>
        <s v="Avery Fluorescent Highlighter Four-Color Set"/>
        <s v="Recycled Eldon Regeneration Jumbo File"/>
        <s v="Avery Heavy-Duty EZD View Binder with Locking Rings"/>
        <s v="3.6 Cubic Foot Counter Height Office Refrigerator"/>
        <s v="Premier Electric Letter Opener"/>
        <s v="Acco 6 Outlet Guardian Standard Surge Suppressor"/>
      </sharedItems>
    </cacheField>
    <cacheField name="Sales" numFmtId="0">
      <sharedItems containsSemiMixedTypes="0" containsString="0" containsNumber="1" minValue="1.08" maxValue="11199.968000000001"/>
    </cacheField>
    <cacheField name="Quantity" numFmtId="0">
      <sharedItems containsSemiMixedTypes="0" containsString="0" containsNumber="1" containsInteger="1" minValue="1" maxValue="14" count="13">
        <n v="2"/>
        <n v="1"/>
        <n v="3"/>
        <n v="5"/>
        <n v="7"/>
        <n v="8"/>
        <n v="4"/>
        <n v="6"/>
        <n v="9"/>
        <n v="13"/>
        <n v="14"/>
        <n v="10"/>
        <n v="11"/>
      </sharedItems>
    </cacheField>
    <cacheField name="Discount" numFmtId="0">
      <sharedItems containsSemiMixedTypes="0" containsString="0" containsNumber="1" minValue="0" maxValue="0.8" count="12">
        <n v="0"/>
        <n v="0.2"/>
        <n v="0.15"/>
        <n v="0.5"/>
        <n v="0.6"/>
        <n v="0.4"/>
        <n v="0.8"/>
        <n v="0.7"/>
        <n v="0.3"/>
        <n v="0.1"/>
        <n v="0.45"/>
        <n v="0.32"/>
      </sharedItems>
    </cacheField>
    <cacheField name="Profit" numFmtId="0">
      <sharedItems containsSemiMixedTypes="0" containsString="0" containsNumber="1" minValue="-3839.9904000000001" maxValue="3919.9888000000001"/>
    </cacheField>
    <cacheField name="Shipping Days" numFmtId="0">
      <sharedItems containsSemiMixedTypes="0" containsString="0" containsNumber="1" containsInteger="1" minValue="0" maxValue="7" count="8">
        <n v="2"/>
        <n v="5"/>
        <n v="4"/>
        <n v="3"/>
        <n v="6"/>
        <n v="7"/>
        <n v="0"/>
        <n v="1"/>
      </sharedItems>
    </cacheField>
    <cacheField name="Month Name" numFmtId="0">
      <sharedItems count="12">
        <s v="Jan"/>
        <s v="Feb"/>
        <s v="Mar"/>
        <s v="Apr"/>
        <s v="May"/>
        <s v="Jun"/>
        <s v="Jul"/>
        <s v="Aug"/>
        <s v="Sep"/>
        <s v="Oct"/>
        <s v="Nov"/>
        <s v="Dec"/>
      </sharedItems>
    </cacheField>
    <cacheField name="Month" numFmtId="0">
      <sharedItems containsSemiMixedTypes="0" containsString="0" containsNumber="1" containsInteger="1" minValue="1" maxValue="12" count="12">
        <n v="1"/>
        <n v="2"/>
        <n v="3"/>
        <n v="4"/>
        <n v="5"/>
        <n v="6"/>
        <n v="7"/>
        <n v="8"/>
        <n v="9"/>
        <n v="10"/>
        <n v="11"/>
        <n v="12"/>
      </sharedItems>
    </cacheField>
    <cacheField name="Months (Order Date)" numFmtId="0" databaseField="0">
      <fieldGroup base="2">
        <rangePr groupBy="months" startDate="2014-01-04T00:00:00" endDate="2017-12-31T00:00:00"/>
        <groupItems count="14">
          <s v="&lt;04-01-2014"/>
          <s v="Jan"/>
          <s v="Feb"/>
          <s v="Mar"/>
          <s v="Apr"/>
          <s v="May"/>
          <s v="Jun"/>
          <s v="Jul"/>
          <s v="Aug"/>
          <s v="Sep"/>
          <s v="Oct"/>
          <s v="Nov"/>
          <s v="Dec"/>
          <s v="&gt;31-12-2017"/>
        </groupItems>
      </fieldGroup>
    </cacheField>
    <cacheField name="Quarters (Order Date)" numFmtId="0" databaseField="0">
      <fieldGroup base="2">
        <rangePr groupBy="quarters" startDate="2014-01-04T00:00:00" endDate="2017-12-31T00:00:00"/>
        <groupItems count="6">
          <s v="&lt;04-01-2014"/>
          <s v="Qtr1"/>
          <s v="Qtr2"/>
          <s v="Qtr3"/>
          <s v="Qtr4"/>
          <s v="&gt;31-12-2017"/>
        </groupItems>
      </fieldGroup>
    </cacheField>
    <cacheField name="Years (Order Date)" numFmtId="0" databaseField="0">
      <fieldGroup base="2">
        <rangePr groupBy="years" startDate="2014-01-04T00:00:00" endDate="2017-12-31T00:00:00"/>
        <groupItems count="6">
          <s v="&lt;04-01-2014"/>
          <s v="2014"/>
          <s v="2015"/>
          <s v="2016"/>
          <s v="2017"/>
          <s v="&gt;31-12-2017"/>
        </groupItems>
      </fieldGroup>
    </cacheField>
  </cacheFields>
  <extLst>
    <ext xmlns:x14="http://schemas.microsoft.com/office/spreadsheetml/2009/9/main" uri="{725AE2AE-9491-48be-B2B4-4EB974FC3084}">
      <x14:pivotCacheDefinition pivotCacheId="827231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3">
  <r>
    <n v="764"/>
    <s v="CA-2014-162775"/>
    <x v="0"/>
    <d v="2014-01-15T00:00:00"/>
    <x v="0"/>
    <s v="CS-12250"/>
    <s v="Chris Selesnick"/>
    <x v="0"/>
    <x v="0"/>
    <s v="Bossier City"/>
    <x v="0"/>
    <n v="71111"/>
    <x v="0"/>
    <s v="OFF-EN-10001990"/>
    <x v="0"/>
    <x v="0"/>
    <x v="0"/>
    <n v="11.36"/>
    <x v="0"/>
    <x v="0"/>
    <n v="5.3391999999999999"/>
    <x v="0"/>
    <x v="0"/>
    <x v="0"/>
  </r>
  <r>
    <n v="866"/>
    <s v="CA-2014-149020"/>
    <x v="1"/>
    <d v="2014-01-15T00:00:00"/>
    <x v="1"/>
    <s v="AJ-10780"/>
    <s v="Anthony Jacobs"/>
    <x v="0"/>
    <x v="0"/>
    <s v="Springfield"/>
    <x v="1"/>
    <n v="22153"/>
    <x v="0"/>
    <s v="OFF-LA-10004272"/>
    <x v="0"/>
    <x v="1"/>
    <x v="1"/>
    <n v="2.89"/>
    <x v="1"/>
    <x v="0"/>
    <n v="1.3583000000000001"/>
    <x v="1"/>
    <x v="0"/>
    <x v="0"/>
  </r>
  <r>
    <n v="733"/>
    <s v="CA-2017-131954"/>
    <x v="2"/>
    <d v="2017-01-25T00:00:00"/>
    <x v="1"/>
    <s v="DS-13030"/>
    <s v="Darrin Sayre"/>
    <x v="1"/>
    <x v="0"/>
    <s v="Seattle"/>
    <x v="2"/>
    <n v="98115"/>
    <x v="1"/>
    <s v="OFF-ST-10000736"/>
    <x v="0"/>
    <x v="2"/>
    <x v="2"/>
    <n v="242.94"/>
    <x v="2"/>
    <x v="0"/>
    <n v="9.7175999999999991"/>
    <x v="2"/>
    <x v="0"/>
    <x v="0"/>
  </r>
  <r>
    <n v="2169"/>
    <s v="CA-2017-117870"/>
    <x v="3"/>
    <d v="2017-01-30T00:00:00"/>
    <x v="0"/>
    <s v="JH-15820"/>
    <s v="John Huston"/>
    <x v="2"/>
    <x v="0"/>
    <s v="Kent"/>
    <x v="3"/>
    <n v="44240"/>
    <x v="2"/>
    <s v="OFF-AR-10004078"/>
    <x v="0"/>
    <x v="3"/>
    <x v="3"/>
    <n v="14.016"/>
    <x v="2"/>
    <x v="1"/>
    <n v="1.752"/>
    <x v="3"/>
    <x v="0"/>
    <x v="0"/>
  </r>
  <r>
    <n v="1914"/>
    <s v="CA-2014-103366"/>
    <x v="4"/>
    <d v="2014-01-17T00:00:00"/>
    <x v="2"/>
    <s v="EH-13990"/>
    <s v="Erica Hackney"/>
    <x v="2"/>
    <x v="0"/>
    <s v="Roswell"/>
    <x v="4"/>
    <n v="30076"/>
    <x v="0"/>
    <s v="TEC-AC-10003628"/>
    <x v="1"/>
    <x v="4"/>
    <x v="4"/>
    <n v="149.94999999999999"/>
    <x v="3"/>
    <x v="0"/>
    <n v="65.977999999999994"/>
    <x v="0"/>
    <x v="0"/>
    <x v="0"/>
  </r>
  <r>
    <n v="3702"/>
    <s v="CA-2016-126543"/>
    <x v="5"/>
    <d v="2016-01-13T00:00:00"/>
    <x v="0"/>
    <s v="MF-17665"/>
    <s v="Maureen Fritzler"/>
    <x v="0"/>
    <x v="0"/>
    <s v="Toledo"/>
    <x v="3"/>
    <n v="43615"/>
    <x v="2"/>
    <s v="FUR-FU-10002445"/>
    <x v="2"/>
    <x v="5"/>
    <x v="5"/>
    <n v="15.167999999999999"/>
    <x v="0"/>
    <x v="1"/>
    <n v="3.7919999999999998"/>
    <x v="2"/>
    <x v="0"/>
    <x v="0"/>
  </r>
  <r>
    <n v="740"/>
    <s v="CA-2014-112326"/>
    <x v="6"/>
    <d v="2014-01-08T00:00:00"/>
    <x v="1"/>
    <s v="PO-19195"/>
    <s v="Phillina Ober"/>
    <x v="1"/>
    <x v="0"/>
    <s v="Naperville"/>
    <x v="5"/>
    <n v="60540"/>
    <x v="3"/>
    <s v="OFF-LA-10003223"/>
    <x v="0"/>
    <x v="1"/>
    <x v="6"/>
    <n v="11.784000000000001"/>
    <x v="2"/>
    <x v="1"/>
    <n v="4.2717000000000001"/>
    <x v="2"/>
    <x v="0"/>
    <x v="0"/>
  </r>
  <r>
    <n v="2834"/>
    <s v="CA-2017-134649"/>
    <x v="7"/>
    <d v="2017-01-31T00:00:00"/>
    <x v="0"/>
    <s v="CA-11965"/>
    <s v="Carol Adams"/>
    <x v="0"/>
    <x v="0"/>
    <s v="Hoover"/>
    <x v="6"/>
    <n v="35244"/>
    <x v="0"/>
    <s v="OFF-AR-10001547"/>
    <x v="0"/>
    <x v="3"/>
    <x v="7"/>
    <n v="15.47"/>
    <x v="4"/>
    <x v="0"/>
    <n v="4.1768999999999998"/>
    <x v="1"/>
    <x v="0"/>
    <x v="0"/>
  </r>
  <r>
    <n v="2290"/>
    <s v="CA-2017-115154"/>
    <x v="8"/>
    <d v="2017-01-11T00:00:00"/>
    <x v="2"/>
    <s v="RS-19420"/>
    <s v="Ricardo Sperren"/>
    <x v="0"/>
    <x v="0"/>
    <s v="Seattle"/>
    <x v="2"/>
    <n v="98115"/>
    <x v="1"/>
    <s v="FUR-TA-10001950"/>
    <x v="2"/>
    <x v="6"/>
    <x v="8"/>
    <n v="892.98"/>
    <x v="0"/>
    <x v="0"/>
    <n v="80.368200000000002"/>
    <x v="3"/>
    <x v="0"/>
    <x v="0"/>
  </r>
  <r>
    <n v="3795"/>
    <s v="US-2014-117163"/>
    <x v="9"/>
    <d v="2014-02-02T00:00:00"/>
    <x v="1"/>
    <s v="EJ-13720"/>
    <s v="Ed Jacobs"/>
    <x v="2"/>
    <x v="0"/>
    <s v="San Diego"/>
    <x v="7"/>
    <n v="92037"/>
    <x v="1"/>
    <s v="OFF-ST-10003692"/>
    <x v="0"/>
    <x v="2"/>
    <x v="9"/>
    <n v="57.23"/>
    <x v="1"/>
    <x v="0"/>
    <n v="14.307499999999999"/>
    <x v="4"/>
    <x v="0"/>
    <x v="0"/>
  </r>
  <r>
    <n v="2408"/>
    <s v="CA-2017-144589"/>
    <x v="10"/>
    <d v="2017-01-25T00:00:00"/>
    <x v="1"/>
    <s v="TM-21010"/>
    <s v="Tamara Manning"/>
    <x v="2"/>
    <x v="0"/>
    <s v="San Francisco"/>
    <x v="7"/>
    <n v="94122"/>
    <x v="1"/>
    <s v="OFF-AR-10003631"/>
    <x v="0"/>
    <x v="3"/>
    <x v="10"/>
    <n v="24.2"/>
    <x v="3"/>
    <x v="0"/>
    <n v="7.9859999999999998"/>
    <x v="1"/>
    <x v="0"/>
    <x v="0"/>
  </r>
  <r>
    <n v="2471"/>
    <s v="US-2016-135923"/>
    <x v="11"/>
    <d v="2016-01-28T00:00:00"/>
    <x v="1"/>
    <s v="CM-11935"/>
    <s v="Carlos Meador"/>
    <x v="2"/>
    <x v="0"/>
    <s v="Fayetteville"/>
    <x v="8"/>
    <n v="28314"/>
    <x v="0"/>
    <s v="FUR-FU-10002107"/>
    <x v="2"/>
    <x v="5"/>
    <x v="11"/>
    <n v="14.272"/>
    <x v="5"/>
    <x v="1"/>
    <n v="4.2816000000000001"/>
    <x v="4"/>
    <x v="0"/>
    <x v="0"/>
  </r>
  <r>
    <n v="213"/>
    <s v="CA-2015-146262"/>
    <x v="12"/>
    <d v="2015-01-09T00:00:00"/>
    <x v="1"/>
    <s v="VW-21775"/>
    <s v="Victoria Wilson"/>
    <x v="0"/>
    <x v="0"/>
    <s v="Medina"/>
    <x v="3"/>
    <n v="44256"/>
    <x v="2"/>
    <s v="OFF-LA-10004544"/>
    <x v="0"/>
    <x v="1"/>
    <x v="12"/>
    <n v="23.68"/>
    <x v="0"/>
    <x v="1"/>
    <n v="8.8800000000000008"/>
    <x v="5"/>
    <x v="0"/>
    <x v="0"/>
  </r>
  <r>
    <n v="1659"/>
    <s v="CA-2017-161809"/>
    <x v="10"/>
    <d v="2017-01-26T00:00:00"/>
    <x v="1"/>
    <s v="TH-21100"/>
    <s v="Thea Hendricks"/>
    <x v="2"/>
    <x v="0"/>
    <s v="Los Angeles"/>
    <x v="7"/>
    <n v="90045"/>
    <x v="1"/>
    <s v="TEC-PH-10004922"/>
    <x v="1"/>
    <x v="7"/>
    <x v="13"/>
    <n v="160.77600000000001"/>
    <x v="2"/>
    <x v="1"/>
    <n v="10.048500000000001"/>
    <x v="4"/>
    <x v="0"/>
    <x v="0"/>
  </r>
  <r>
    <n v="849"/>
    <s v="CA-2017-107503"/>
    <x v="13"/>
    <d v="2017-01-06T00:00:00"/>
    <x v="1"/>
    <s v="GA-14725"/>
    <s v="Guy Armstrong"/>
    <x v="2"/>
    <x v="0"/>
    <s v="Lorain"/>
    <x v="3"/>
    <n v="44052"/>
    <x v="2"/>
    <s v="FUR-FU-10003878"/>
    <x v="2"/>
    <x v="5"/>
    <x v="14"/>
    <n v="48.896000000000001"/>
    <x v="6"/>
    <x v="1"/>
    <n v="8.5568000000000008"/>
    <x v="1"/>
    <x v="0"/>
    <x v="0"/>
  </r>
  <r>
    <n v="3366"/>
    <s v="CA-2014-115161"/>
    <x v="14"/>
    <d v="2014-02-02T00:00:00"/>
    <x v="2"/>
    <s v="LC-17050"/>
    <s v="Liz Carlisle"/>
    <x v="2"/>
    <x v="0"/>
    <s v="Mission Viejo"/>
    <x v="7"/>
    <n v="92691"/>
    <x v="1"/>
    <s v="FUR-BO-10003966"/>
    <x v="2"/>
    <x v="8"/>
    <x v="15"/>
    <n v="290.666"/>
    <x v="0"/>
    <x v="2"/>
    <n v="3.4196"/>
    <x v="0"/>
    <x v="0"/>
    <x v="0"/>
  </r>
  <r>
    <n v="4165"/>
    <s v="US-2017-106131"/>
    <x v="15"/>
    <d v="2017-01-16T00:00:00"/>
    <x v="2"/>
    <s v="TP-21565"/>
    <s v="Tracy Poddar"/>
    <x v="0"/>
    <x v="0"/>
    <s v="Aurora"/>
    <x v="9"/>
    <n v="80013"/>
    <x v="1"/>
    <s v="TEC-AC-10003027"/>
    <x v="1"/>
    <x v="4"/>
    <x v="16"/>
    <n v="169.06399999999999"/>
    <x v="4"/>
    <x v="1"/>
    <n v="-14.793100000000001"/>
    <x v="0"/>
    <x v="0"/>
    <x v="0"/>
  </r>
  <r>
    <n v="1026"/>
    <s v="CA-2016-126529"/>
    <x v="16"/>
    <d v="2016-01-13T00:00:00"/>
    <x v="0"/>
    <s v="DE-13255"/>
    <s v="Deanra Eno"/>
    <x v="1"/>
    <x v="0"/>
    <s v="Springfield"/>
    <x v="3"/>
    <n v="45503"/>
    <x v="2"/>
    <s v="OFF-PA-10001166"/>
    <x v="0"/>
    <x v="9"/>
    <x v="17"/>
    <n v="15.552"/>
    <x v="2"/>
    <x v="1"/>
    <n v="5.4432"/>
    <x v="0"/>
    <x v="0"/>
    <x v="0"/>
  </r>
  <r>
    <n v="26"/>
    <s v="CA-2016-121755"/>
    <x v="17"/>
    <d v="2016-01-20T00:00:00"/>
    <x v="0"/>
    <s v="EH-13945"/>
    <s v="Eric Hoffmann"/>
    <x v="2"/>
    <x v="0"/>
    <s v="Los Angeles"/>
    <x v="7"/>
    <n v="90049"/>
    <x v="1"/>
    <s v="OFF-BI-10001634"/>
    <x v="0"/>
    <x v="10"/>
    <x v="18"/>
    <n v="11.648"/>
    <x v="0"/>
    <x v="1"/>
    <n v="4.2224000000000004"/>
    <x v="2"/>
    <x v="0"/>
    <x v="0"/>
  </r>
  <r>
    <n v="93"/>
    <s v="CA-2015-149587"/>
    <x v="18"/>
    <d v="2015-02-05T00:00:00"/>
    <x v="0"/>
    <s v="KB-16315"/>
    <s v="Karl Braun"/>
    <x v="2"/>
    <x v="0"/>
    <s v="Minneapolis"/>
    <x v="10"/>
    <n v="55407"/>
    <x v="3"/>
    <s v="OFF-PA-10003177"/>
    <x v="0"/>
    <x v="9"/>
    <x v="19"/>
    <n v="12.96"/>
    <x v="0"/>
    <x v="0"/>
    <n v="6.2207999999999997"/>
    <x v="1"/>
    <x v="0"/>
    <x v="0"/>
  </r>
  <r>
    <n v="1415"/>
    <s v="CA-2017-115994"/>
    <x v="19"/>
    <d v="2017-01-31T00:00:00"/>
    <x v="0"/>
    <s v="BT-11305"/>
    <s v="Beth Thompson"/>
    <x v="1"/>
    <x v="0"/>
    <s v="Costa Mesa"/>
    <x v="7"/>
    <n v="92627"/>
    <x v="1"/>
    <s v="TEC-AC-10000580"/>
    <x v="1"/>
    <x v="4"/>
    <x v="20"/>
    <n v="239.97"/>
    <x v="2"/>
    <x v="0"/>
    <n v="26.396699999999999"/>
    <x v="3"/>
    <x v="0"/>
    <x v="0"/>
  </r>
  <r>
    <n v="593"/>
    <s v="CA-2014-135405"/>
    <x v="20"/>
    <d v="2014-01-13T00:00:00"/>
    <x v="1"/>
    <s v="MS-17830"/>
    <s v="Melanie Seite"/>
    <x v="2"/>
    <x v="0"/>
    <s v="Laredo"/>
    <x v="11"/>
    <n v="78041"/>
    <x v="3"/>
    <s v="OFF-AR-10004078"/>
    <x v="0"/>
    <x v="3"/>
    <x v="3"/>
    <n v="9.3439999999999994"/>
    <x v="0"/>
    <x v="1"/>
    <n v="1.1679999999999999"/>
    <x v="2"/>
    <x v="0"/>
    <x v="0"/>
  </r>
  <r>
    <n v="1341"/>
    <s v="CA-2017-113481"/>
    <x v="21"/>
    <d v="2017-01-04T00:00:00"/>
    <x v="2"/>
    <s v="AS-10045"/>
    <s v="Aaron Smayling"/>
    <x v="0"/>
    <x v="0"/>
    <s v="Jacksonville"/>
    <x v="8"/>
    <n v="28540"/>
    <x v="0"/>
    <s v="TEC-MA-10002178"/>
    <x v="1"/>
    <x v="11"/>
    <x v="21"/>
    <n v="695.7"/>
    <x v="0"/>
    <x v="3"/>
    <n v="-27.827999999999999"/>
    <x v="0"/>
    <x v="0"/>
    <x v="0"/>
  </r>
  <r>
    <n v="1096"/>
    <s v="CA-2017-160423"/>
    <x v="2"/>
    <d v="2017-01-26T00:00:00"/>
    <x v="1"/>
    <s v="PS-19045"/>
    <s v="Penelope Sewall"/>
    <x v="1"/>
    <x v="0"/>
    <s v="Charlotte"/>
    <x v="8"/>
    <n v="28205"/>
    <x v="0"/>
    <s v="OFF-ST-10004340"/>
    <x v="0"/>
    <x v="2"/>
    <x v="22"/>
    <n v="348.20800000000003"/>
    <x v="4"/>
    <x v="1"/>
    <n v="30.4682"/>
    <x v="1"/>
    <x v="0"/>
    <x v="0"/>
  </r>
  <r>
    <n v="468"/>
    <s v="US-2015-101399"/>
    <x v="22"/>
    <d v="2015-01-24T00:00:00"/>
    <x v="1"/>
    <s v="JS-15940"/>
    <s v="Joni Sundaresam"/>
    <x v="1"/>
    <x v="0"/>
    <s v="Park Ridge"/>
    <x v="5"/>
    <n v="60068"/>
    <x v="3"/>
    <s v="FUR-FU-10002918"/>
    <x v="2"/>
    <x v="5"/>
    <x v="23"/>
    <n v="254.744"/>
    <x v="4"/>
    <x v="4"/>
    <n v="-312.06139999999999"/>
    <x v="5"/>
    <x v="0"/>
    <x v="0"/>
  </r>
  <r>
    <n v="8176"/>
    <s v="CA-2016-114944"/>
    <x v="23"/>
    <d v="2016-02-04T00:00:00"/>
    <x v="1"/>
    <s v="HE-14800"/>
    <s v="Harold Engle"/>
    <x v="0"/>
    <x v="0"/>
    <s v="Chicago"/>
    <x v="5"/>
    <n v="60623"/>
    <x v="3"/>
    <s v="OFF-PA-10003892"/>
    <x v="0"/>
    <x v="9"/>
    <x v="24"/>
    <n v="156.512"/>
    <x v="6"/>
    <x v="1"/>
    <n v="52.822800000000001"/>
    <x v="1"/>
    <x v="0"/>
    <x v="0"/>
  </r>
  <r>
    <n v="771"/>
    <s v="CA-2017-104220"/>
    <x v="24"/>
    <d v="2017-02-05T00:00:00"/>
    <x v="1"/>
    <s v="BV-11245"/>
    <s v="Benjamin Venier"/>
    <x v="0"/>
    <x v="0"/>
    <s v="Des Moines"/>
    <x v="12"/>
    <n v="50315"/>
    <x v="3"/>
    <s v="OFF-BI-10001036"/>
    <x v="0"/>
    <x v="10"/>
    <x v="25"/>
    <n v="18.28"/>
    <x v="0"/>
    <x v="0"/>
    <n v="9.14"/>
    <x v="4"/>
    <x v="0"/>
    <x v="0"/>
  </r>
  <r>
    <n v="523"/>
    <s v="CA-2017-145142"/>
    <x v="25"/>
    <d v="2017-01-25T00:00:00"/>
    <x v="2"/>
    <s v="MC-17605"/>
    <s v="Matt Connell"/>
    <x v="0"/>
    <x v="0"/>
    <s v="Detroit"/>
    <x v="13"/>
    <n v="48234"/>
    <x v="3"/>
    <s v="FUR-TA-10001857"/>
    <x v="2"/>
    <x v="6"/>
    <x v="26"/>
    <n v="210.98"/>
    <x v="0"/>
    <x v="0"/>
    <n v="21.097999999999999"/>
    <x v="0"/>
    <x v="0"/>
    <x v="0"/>
  </r>
  <r>
    <n v="717"/>
    <s v="CA-2014-130092"/>
    <x v="26"/>
    <d v="2014-01-14T00:00:00"/>
    <x v="2"/>
    <s v="SV-20365"/>
    <s v="Seth Vernon"/>
    <x v="2"/>
    <x v="0"/>
    <s v="Dover"/>
    <x v="14"/>
    <n v="19901"/>
    <x v="2"/>
    <s v="FUR-FU-10000010"/>
    <x v="2"/>
    <x v="5"/>
    <x v="27"/>
    <n v="9.94"/>
    <x v="0"/>
    <x v="0"/>
    <n v="3.0813999999999999"/>
    <x v="3"/>
    <x v="0"/>
    <x v="0"/>
  </r>
  <r>
    <n v="131"/>
    <s v="US-2017-164147"/>
    <x v="27"/>
    <d v="2017-02-05T00:00:00"/>
    <x v="2"/>
    <s v="DW-13585"/>
    <s v="Dorothy Wardle"/>
    <x v="0"/>
    <x v="0"/>
    <s v="Columbus"/>
    <x v="3"/>
    <n v="43229"/>
    <x v="2"/>
    <s v="TEC-PH-10002293"/>
    <x v="1"/>
    <x v="7"/>
    <x v="28"/>
    <n v="59.97"/>
    <x v="3"/>
    <x v="5"/>
    <n v="-11.994"/>
    <x v="3"/>
    <x v="1"/>
    <x v="1"/>
  </r>
  <r>
    <n v="2696"/>
    <s v="CA-2016-161662"/>
    <x v="28"/>
    <d v="2016-02-09T00:00:00"/>
    <x v="2"/>
    <s v="BE-11410"/>
    <s v="Bobby Elias"/>
    <x v="2"/>
    <x v="0"/>
    <s v="Lancaster"/>
    <x v="3"/>
    <n v="43130"/>
    <x v="2"/>
    <s v="OFF-PA-10003465"/>
    <x v="0"/>
    <x v="9"/>
    <x v="29"/>
    <n v="30.352"/>
    <x v="0"/>
    <x v="1"/>
    <n v="10.623200000000001"/>
    <x v="0"/>
    <x v="1"/>
    <x v="1"/>
  </r>
  <r>
    <n v="2730"/>
    <s v="CA-2017-104801"/>
    <x v="29"/>
    <d v="2017-02-19T00:00:00"/>
    <x v="1"/>
    <s v="FH-14350"/>
    <s v="Fred Harton"/>
    <x v="2"/>
    <x v="0"/>
    <s v="Seattle"/>
    <x v="2"/>
    <n v="98105"/>
    <x v="1"/>
    <s v="OFF-AR-10001547"/>
    <x v="0"/>
    <x v="3"/>
    <x v="7"/>
    <n v="6.63"/>
    <x v="2"/>
    <x v="0"/>
    <n v="1.7901"/>
    <x v="4"/>
    <x v="1"/>
    <x v="1"/>
  </r>
  <r>
    <n v="801"/>
    <s v="CA-2017-105809"/>
    <x v="30"/>
    <d v="2017-02-23T00:00:00"/>
    <x v="2"/>
    <s v="HW-14935"/>
    <s v="Helen Wasserman"/>
    <x v="0"/>
    <x v="0"/>
    <s v="San Diego"/>
    <x v="7"/>
    <n v="92105"/>
    <x v="1"/>
    <s v="FUR-FU-10004090"/>
    <x v="2"/>
    <x v="5"/>
    <x v="30"/>
    <n v="22.23"/>
    <x v="1"/>
    <x v="0"/>
    <n v="7.3358999999999996"/>
    <x v="3"/>
    <x v="1"/>
    <x v="1"/>
  </r>
  <r>
    <n v="1809"/>
    <s v="CA-2016-164938"/>
    <x v="31"/>
    <d v="2016-02-13T00:00:00"/>
    <x v="2"/>
    <s v="PB-19210"/>
    <s v="Phillip Breyer"/>
    <x v="0"/>
    <x v="0"/>
    <s v="Tulsa"/>
    <x v="15"/>
    <n v="74133"/>
    <x v="3"/>
    <s v="TEC-PH-10004897"/>
    <x v="1"/>
    <x v="7"/>
    <x v="31"/>
    <n v="69.930000000000007"/>
    <x v="4"/>
    <x v="0"/>
    <n v="0.69930000000000003"/>
    <x v="0"/>
    <x v="1"/>
    <x v="1"/>
  </r>
  <r>
    <n v="2248"/>
    <s v="CA-2015-116092"/>
    <x v="32"/>
    <d v="2015-02-18T00:00:00"/>
    <x v="0"/>
    <s v="JM-16195"/>
    <s v="Justin MacKendrick"/>
    <x v="2"/>
    <x v="0"/>
    <s v="Los Angeles"/>
    <x v="7"/>
    <n v="90004"/>
    <x v="1"/>
    <s v="OFF-PA-10004285"/>
    <x v="0"/>
    <x v="9"/>
    <x v="32"/>
    <n v="13.36"/>
    <x v="0"/>
    <x v="0"/>
    <n v="6.4127999999999998"/>
    <x v="3"/>
    <x v="1"/>
    <x v="1"/>
  </r>
  <r>
    <n v="1828"/>
    <s v="CA-2016-109344"/>
    <x v="33"/>
    <d v="2016-02-11T00:00:00"/>
    <x v="0"/>
    <s v="CH-12070"/>
    <s v="Cathy Hwang"/>
    <x v="1"/>
    <x v="0"/>
    <s v="Raleigh"/>
    <x v="8"/>
    <n v="27604"/>
    <x v="0"/>
    <s v="TEC-PH-10002624"/>
    <x v="1"/>
    <x v="7"/>
    <x v="33"/>
    <n v="1127.9760000000001"/>
    <x v="2"/>
    <x v="1"/>
    <n v="126.8973"/>
    <x v="3"/>
    <x v="1"/>
    <x v="1"/>
  </r>
  <r>
    <n v="1788"/>
    <s v="CA-2015-154326"/>
    <x v="32"/>
    <d v="2015-02-19T00:00:00"/>
    <x v="1"/>
    <s v="RP-19855"/>
    <s v="Roy Phan"/>
    <x v="0"/>
    <x v="0"/>
    <s v="Kenosha"/>
    <x v="16"/>
    <n v="53142"/>
    <x v="3"/>
    <s v="TEC-PH-10001819"/>
    <x v="1"/>
    <x v="7"/>
    <x v="34"/>
    <n v="134.97"/>
    <x v="2"/>
    <x v="0"/>
    <n v="64.785600000000002"/>
    <x v="2"/>
    <x v="1"/>
    <x v="1"/>
  </r>
  <r>
    <n v="1704"/>
    <s v="CA-2014-139857"/>
    <x v="34"/>
    <d v="2014-02-06T00:00:00"/>
    <x v="1"/>
    <s v="CD-12790"/>
    <s v="Cynthia Delaney"/>
    <x v="1"/>
    <x v="0"/>
    <s v="San Diego"/>
    <x v="7"/>
    <n v="92037"/>
    <x v="1"/>
    <s v="OFF-FA-10001843"/>
    <x v="0"/>
    <x v="12"/>
    <x v="35"/>
    <n v="12.35"/>
    <x v="3"/>
    <x v="0"/>
    <n v="5.8045"/>
    <x v="2"/>
    <x v="1"/>
    <x v="1"/>
  </r>
  <r>
    <n v="212"/>
    <s v="CA-2015-101007"/>
    <x v="35"/>
    <d v="2015-02-13T00:00:00"/>
    <x v="0"/>
    <s v="MS-17980"/>
    <s v="Michael Stewart"/>
    <x v="0"/>
    <x v="0"/>
    <s v="Dallas"/>
    <x v="11"/>
    <n v="75220"/>
    <x v="3"/>
    <s v="TEC-AC-10001266"/>
    <x v="1"/>
    <x v="4"/>
    <x v="36"/>
    <n v="20.8"/>
    <x v="0"/>
    <x v="1"/>
    <n v="6.5"/>
    <x v="2"/>
    <x v="1"/>
    <x v="1"/>
  </r>
  <r>
    <n v="229"/>
    <s v="US-2015-145436"/>
    <x v="36"/>
    <d v="2015-03-04T00:00:00"/>
    <x v="1"/>
    <s v="VD-21670"/>
    <s v="Valerie Dominguez"/>
    <x v="2"/>
    <x v="0"/>
    <s v="Columbia"/>
    <x v="17"/>
    <n v="38401"/>
    <x v="0"/>
    <s v="FUR-CH-10004860"/>
    <x v="2"/>
    <x v="13"/>
    <x v="37"/>
    <n v="161.56800000000001"/>
    <x v="0"/>
    <x v="1"/>
    <n v="-28.2744"/>
    <x v="2"/>
    <x v="1"/>
    <x v="1"/>
  </r>
  <r>
    <n v="1544"/>
    <s v="CA-2014-107181"/>
    <x v="37"/>
    <d v="2014-02-08T00:00:00"/>
    <x v="1"/>
    <s v="DB-13270"/>
    <s v="Deborah Brumfield"/>
    <x v="1"/>
    <x v="0"/>
    <s v="San Diego"/>
    <x v="7"/>
    <n v="92024"/>
    <x v="1"/>
    <s v="OFF-BI-10004230"/>
    <x v="0"/>
    <x v="10"/>
    <x v="38"/>
    <n v="82.896000000000001"/>
    <x v="2"/>
    <x v="1"/>
    <n v="29.0136"/>
    <x v="2"/>
    <x v="1"/>
    <x v="1"/>
  </r>
  <r>
    <n v="1535"/>
    <s v="CA-2017-124086"/>
    <x v="38"/>
    <d v="2017-02-14T00:00:00"/>
    <x v="1"/>
    <s v="MP-18175"/>
    <s v="Mike Pelletier"/>
    <x v="1"/>
    <x v="0"/>
    <s v="Laguna Niguel"/>
    <x v="7"/>
    <n v="92677"/>
    <x v="1"/>
    <s v="FUR-BO-10004015"/>
    <x v="2"/>
    <x v="8"/>
    <x v="39"/>
    <n v="203.983"/>
    <x v="0"/>
    <x v="2"/>
    <n v="16.7986"/>
    <x v="2"/>
    <x v="1"/>
    <x v="1"/>
  </r>
  <r>
    <n v="1518"/>
    <s v="CA-2014-111059"/>
    <x v="39"/>
    <d v="2014-02-06T00:00:00"/>
    <x v="0"/>
    <s v="TB-21400"/>
    <s v="Tom Boeckenhauer"/>
    <x v="2"/>
    <x v="0"/>
    <s v="Seattle"/>
    <x v="2"/>
    <n v="98105"/>
    <x v="1"/>
    <s v="OFF-BI-10004593"/>
    <x v="0"/>
    <x v="10"/>
    <x v="40"/>
    <n v="83.84"/>
    <x v="0"/>
    <x v="1"/>
    <n v="27.248000000000001"/>
    <x v="3"/>
    <x v="1"/>
    <x v="1"/>
  </r>
  <r>
    <n v="1383"/>
    <s v="US-2016-108504"/>
    <x v="40"/>
    <d v="2016-02-05T00:00:00"/>
    <x v="3"/>
    <s v="PP-18955"/>
    <s v="Paul Prost"/>
    <x v="1"/>
    <x v="0"/>
    <s v="Smyrna"/>
    <x v="4"/>
    <n v="30080"/>
    <x v="0"/>
    <s v="OFF-ST-10002344"/>
    <x v="0"/>
    <x v="2"/>
    <x v="41"/>
    <n v="80.98"/>
    <x v="1"/>
    <x v="0"/>
    <n v="1.6195999999999999"/>
    <x v="6"/>
    <x v="1"/>
    <x v="1"/>
  </r>
  <r>
    <n v="1333"/>
    <s v="CA-2014-122567"/>
    <x v="41"/>
    <d v="2014-02-21T00:00:00"/>
    <x v="1"/>
    <s v="MN-17935"/>
    <s v="Michael Nguyen"/>
    <x v="2"/>
    <x v="0"/>
    <s v="Dallas"/>
    <x v="11"/>
    <n v="75220"/>
    <x v="3"/>
    <s v="OFF-BI-10002012"/>
    <x v="0"/>
    <x v="10"/>
    <x v="42"/>
    <n v="1.08"/>
    <x v="2"/>
    <x v="6"/>
    <n v="-1.728"/>
    <x v="1"/>
    <x v="1"/>
    <x v="1"/>
  </r>
  <r>
    <n v="1321"/>
    <s v="CA-2017-167703"/>
    <x v="42"/>
    <d v="2017-02-08T00:00:00"/>
    <x v="1"/>
    <s v="MC-17575"/>
    <s v="Matt Collins"/>
    <x v="2"/>
    <x v="0"/>
    <s v="Cincinnati"/>
    <x v="3"/>
    <n v="45231"/>
    <x v="2"/>
    <s v="OFF-BI-10002071"/>
    <x v="0"/>
    <x v="10"/>
    <x v="43"/>
    <n v="5.2290000000000001"/>
    <x v="2"/>
    <x v="7"/>
    <n v="-4.1832000000000003"/>
    <x v="1"/>
    <x v="1"/>
    <x v="1"/>
  </r>
  <r>
    <n v="1189"/>
    <s v="CA-2017-117212"/>
    <x v="43"/>
    <d v="2017-02-28T00:00:00"/>
    <x v="0"/>
    <s v="BT-11530"/>
    <s v="Bradley Talbott"/>
    <x v="1"/>
    <x v="0"/>
    <s v="Los Angeles"/>
    <x v="7"/>
    <n v="90036"/>
    <x v="1"/>
    <s v="OFF-AP-10004532"/>
    <x v="0"/>
    <x v="14"/>
    <x v="44"/>
    <n v="81.92"/>
    <x v="6"/>
    <x v="0"/>
    <n v="22.118400000000001"/>
    <x v="0"/>
    <x v="1"/>
    <x v="1"/>
  </r>
  <r>
    <n v="2263"/>
    <s v="CA-2017-122994"/>
    <x v="44"/>
    <d v="2017-02-09T00:00:00"/>
    <x v="2"/>
    <s v="MV-17485"/>
    <s v="Mark Van Huff"/>
    <x v="2"/>
    <x v="0"/>
    <s v="Arlington"/>
    <x v="1"/>
    <n v="22204"/>
    <x v="0"/>
    <s v="FUR-BO-10004015"/>
    <x v="2"/>
    <x v="8"/>
    <x v="39"/>
    <n v="359.97"/>
    <x v="2"/>
    <x v="0"/>
    <n v="79.193399999999997"/>
    <x v="3"/>
    <x v="1"/>
    <x v="1"/>
  </r>
  <r>
    <n v="541"/>
    <s v="CA-2014-140795"/>
    <x v="45"/>
    <d v="2014-02-03T00:00:00"/>
    <x v="2"/>
    <s v="BD-11500"/>
    <s v="Bradley Drucker"/>
    <x v="2"/>
    <x v="0"/>
    <s v="Green Bay"/>
    <x v="16"/>
    <n v="54302"/>
    <x v="3"/>
    <s v="TEC-AC-10001432"/>
    <x v="1"/>
    <x v="4"/>
    <x v="45"/>
    <n v="468.9"/>
    <x v="7"/>
    <x v="0"/>
    <n v="206.316"/>
    <x v="0"/>
    <x v="1"/>
    <x v="1"/>
  </r>
  <r>
    <n v="850"/>
    <s v="CA-2014-107755"/>
    <x v="46"/>
    <d v="2014-02-12T00:00:00"/>
    <x v="1"/>
    <s v="CK-12760"/>
    <s v="Cyma Kinney"/>
    <x v="0"/>
    <x v="0"/>
    <s v="Linden"/>
    <x v="18"/>
    <n v="7036"/>
    <x v="2"/>
    <s v="TEC-AC-10000710"/>
    <x v="1"/>
    <x v="4"/>
    <x v="46"/>
    <n v="115.36"/>
    <x v="4"/>
    <x v="0"/>
    <n v="49.604799999999997"/>
    <x v="1"/>
    <x v="1"/>
    <x v="1"/>
  </r>
  <r>
    <n v="457"/>
    <s v="US-2014-110674"/>
    <x v="47"/>
    <d v="2014-02-18T00:00:00"/>
    <x v="1"/>
    <s v="SC-20095"/>
    <s v="Sanjit Chand"/>
    <x v="2"/>
    <x v="0"/>
    <s v="Concord"/>
    <x v="7"/>
    <n v="94521"/>
    <x v="1"/>
    <s v="FUR-CH-10000225"/>
    <x v="2"/>
    <x v="13"/>
    <x v="47"/>
    <n v="129.56800000000001"/>
    <x v="0"/>
    <x v="1"/>
    <n v="-24.294"/>
    <x v="4"/>
    <x v="1"/>
    <x v="1"/>
  </r>
  <r>
    <n v="3146"/>
    <s v="CA-2017-131828"/>
    <x v="48"/>
    <d v="2017-02-13T00:00:00"/>
    <x v="0"/>
    <s v="CS-11845"/>
    <s v="Cari Sayre"/>
    <x v="0"/>
    <x v="0"/>
    <s v="Seattle"/>
    <x v="2"/>
    <n v="98105"/>
    <x v="1"/>
    <s v="FUR-CH-10004495"/>
    <x v="2"/>
    <x v="13"/>
    <x v="48"/>
    <n v="963.13599999999997"/>
    <x v="6"/>
    <x v="1"/>
    <n v="108.3528"/>
    <x v="0"/>
    <x v="1"/>
    <x v="1"/>
  </r>
  <r>
    <n v="721"/>
    <s v="CA-2016-112942"/>
    <x v="49"/>
    <d v="2016-02-18T00:00:00"/>
    <x v="1"/>
    <s v="RD-19810"/>
    <s v="Ross DeVincentis"/>
    <x v="1"/>
    <x v="0"/>
    <s v="Los Angeles"/>
    <x v="7"/>
    <n v="90045"/>
    <x v="1"/>
    <s v="OFF-PA-10004092"/>
    <x v="0"/>
    <x v="9"/>
    <x v="49"/>
    <n v="146.82"/>
    <x v="2"/>
    <x v="0"/>
    <n v="73.41"/>
    <x v="1"/>
    <x v="1"/>
    <x v="1"/>
  </r>
  <r>
    <n v="763"/>
    <s v="CA-2015-114923"/>
    <x v="50"/>
    <d v="2015-02-13T00:00:00"/>
    <x v="1"/>
    <s v="LH-17020"/>
    <s v="Lisa Hazard"/>
    <x v="2"/>
    <x v="0"/>
    <s v="Columbus"/>
    <x v="3"/>
    <n v="43229"/>
    <x v="2"/>
    <s v="TEC-PH-10003931"/>
    <x v="1"/>
    <x v="7"/>
    <x v="50"/>
    <n v="107.982"/>
    <x v="2"/>
    <x v="5"/>
    <n v="-26.9955"/>
    <x v="1"/>
    <x v="1"/>
    <x v="1"/>
  </r>
  <r>
    <n v="2871"/>
    <s v="CA-2014-148040"/>
    <x v="51"/>
    <d v="2014-03-26T00:00:00"/>
    <x v="1"/>
    <s v="BF-11275"/>
    <s v="Beth Fritzler"/>
    <x v="0"/>
    <x v="0"/>
    <s v="Tucson"/>
    <x v="19"/>
    <n v="85705"/>
    <x v="1"/>
    <s v="OFF-PA-10002581"/>
    <x v="0"/>
    <x v="9"/>
    <x v="51"/>
    <n v="74.352000000000004"/>
    <x v="2"/>
    <x v="1"/>
    <n v="23.234999999999999"/>
    <x v="2"/>
    <x v="2"/>
    <x v="2"/>
  </r>
  <r>
    <n v="1595"/>
    <s v="CA-2015-118423"/>
    <x v="52"/>
    <d v="2015-03-27T00:00:00"/>
    <x v="2"/>
    <s v="DP-13390"/>
    <s v="Dennis Pardue"/>
    <x v="1"/>
    <x v="0"/>
    <s v="Peoria"/>
    <x v="5"/>
    <n v="61604"/>
    <x v="3"/>
    <s v="FUR-BO-10000362"/>
    <x v="2"/>
    <x v="8"/>
    <x v="52"/>
    <n v="359.05799999999999"/>
    <x v="2"/>
    <x v="8"/>
    <n v="-35.905799999999999"/>
    <x v="3"/>
    <x v="2"/>
    <x v="2"/>
  </r>
  <r>
    <n v="520"/>
    <s v="CA-2015-157812"/>
    <x v="53"/>
    <d v="2015-03-26T00:00:00"/>
    <x v="1"/>
    <s v="DB-13210"/>
    <s v="Dean Braden"/>
    <x v="2"/>
    <x v="0"/>
    <s v="Houston"/>
    <x v="11"/>
    <n v="77041"/>
    <x v="3"/>
    <s v="TEC-AC-10000171"/>
    <x v="1"/>
    <x v="4"/>
    <x v="53"/>
    <n v="18.391999999999999"/>
    <x v="1"/>
    <x v="1"/>
    <n v="5.2877000000000001"/>
    <x v="2"/>
    <x v="2"/>
    <x v="2"/>
  </r>
  <r>
    <n v="988"/>
    <s v="CA-2015-146829"/>
    <x v="54"/>
    <d v="2015-03-10T00:00:00"/>
    <x v="3"/>
    <s v="TS-21340"/>
    <s v="Toby Swindell"/>
    <x v="2"/>
    <x v="0"/>
    <s v="Houston"/>
    <x v="11"/>
    <n v="77041"/>
    <x v="3"/>
    <s v="OFF-BI-10004022"/>
    <x v="0"/>
    <x v="10"/>
    <x v="54"/>
    <n v="1.1120000000000001"/>
    <x v="0"/>
    <x v="6"/>
    <n v="-1.8904000000000001"/>
    <x v="6"/>
    <x v="2"/>
    <x v="2"/>
  </r>
  <r>
    <n v="3995"/>
    <s v="CA-2015-105627"/>
    <x v="55"/>
    <d v="2015-03-12T00:00:00"/>
    <x v="1"/>
    <s v="DK-12895"/>
    <s v="Dana Kaydos"/>
    <x v="2"/>
    <x v="0"/>
    <s v="Kenosha"/>
    <x v="16"/>
    <n v="53142"/>
    <x v="3"/>
    <s v="FUR-BO-10002916"/>
    <x v="2"/>
    <x v="8"/>
    <x v="55"/>
    <n v="512.94000000000005"/>
    <x v="2"/>
    <x v="0"/>
    <n v="97.458600000000004"/>
    <x v="2"/>
    <x v="2"/>
    <x v="2"/>
  </r>
  <r>
    <n v="664"/>
    <s v="CA-2016-123666"/>
    <x v="56"/>
    <d v="2016-03-30T00:00:00"/>
    <x v="1"/>
    <s v="SP-20545"/>
    <s v="Sibella Parks"/>
    <x v="0"/>
    <x v="0"/>
    <s v="New York City"/>
    <x v="20"/>
    <n v="10011"/>
    <x v="2"/>
    <s v="OFF-ST-10001522"/>
    <x v="0"/>
    <x v="2"/>
    <x v="56"/>
    <n v="459.95"/>
    <x v="3"/>
    <x v="0"/>
    <n v="18.398"/>
    <x v="2"/>
    <x v="2"/>
    <x v="2"/>
  </r>
  <r>
    <n v="507"/>
    <s v="CA-2015-145352"/>
    <x v="57"/>
    <d v="2015-03-22T00:00:00"/>
    <x v="1"/>
    <s v="CM-12385"/>
    <s v="Christopher Martinez"/>
    <x v="2"/>
    <x v="0"/>
    <s v="Atlanta"/>
    <x v="4"/>
    <n v="30318"/>
    <x v="0"/>
    <s v="OFF-AR-10001662"/>
    <x v="0"/>
    <x v="3"/>
    <x v="57"/>
    <n v="2.74"/>
    <x v="1"/>
    <x v="0"/>
    <n v="0.73980000000000001"/>
    <x v="4"/>
    <x v="2"/>
    <x v="2"/>
  </r>
  <r>
    <n v="1672"/>
    <s v="CA-2016-107615"/>
    <x v="58"/>
    <d v="2016-03-25T00:00:00"/>
    <x v="2"/>
    <s v="RB-19645"/>
    <s v="Robert Barroso"/>
    <x v="0"/>
    <x v="0"/>
    <s v="North Las Vegas"/>
    <x v="21"/>
    <n v="89031"/>
    <x v="1"/>
    <s v="TEC-AC-10001013"/>
    <x v="1"/>
    <x v="4"/>
    <x v="58"/>
    <n v="58.58"/>
    <x v="0"/>
    <x v="0"/>
    <n v="19.331399999999999"/>
    <x v="3"/>
    <x v="2"/>
    <x v="2"/>
  </r>
  <r>
    <n v="1693"/>
    <s v="US-2016-154361"/>
    <x v="59"/>
    <d v="2016-03-19T00:00:00"/>
    <x v="1"/>
    <s v="HZ-14950"/>
    <s v="Henia Zydlo"/>
    <x v="2"/>
    <x v="0"/>
    <s v="Columbus"/>
    <x v="3"/>
    <n v="43229"/>
    <x v="2"/>
    <s v="FUR-FU-10004020"/>
    <x v="2"/>
    <x v="5"/>
    <x v="59"/>
    <n v="21.88"/>
    <x v="3"/>
    <x v="1"/>
    <n v="6.2904999999999998"/>
    <x v="1"/>
    <x v="2"/>
    <x v="2"/>
  </r>
  <r>
    <n v="45"/>
    <s v="CA-2016-118255"/>
    <x v="60"/>
    <d v="2016-03-13T00:00:00"/>
    <x v="2"/>
    <s v="ON-18715"/>
    <s v="Odella Nelson"/>
    <x v="0"/>
    <x v="0"/>
    <s v="Eagan"/>
    <x v="10"/>
    <n v="55122"/>
    <x v="3"/>
    <s v="TEC-AC-10000171"/>
    <x v="1"/>
    <x v="4"/>
    <x v="53"/>
    <n v="45.98"/>
    <x v="0"/>
    <x v="0"/>
    <n v="19.7714"/>
    <x v="0"/>
    <x v="2"/>
    <x v="2"/>
  </r>
  <r>
    <n v="919"/>
    <s v="CA-2016-165218"/>
    <x v="61"/>
    <d v="2016-03-11T00:00:00"/>
    <x v="1"/>
    <s v="RW-19630"/>
    <s v="Rob Williams"/>
    <x v="0"/>
    <x v="0"/>
    <s v="Dallas"/>
    <x v="11"/>
    <n v="75220"/>
    <x v="3"/>
    <s v="OFF-EN-10000056"/>
    <x v="0"/>
    <x v="0"/>
    <x v="60"/>
    <n v="149.352"/>
    <x v="2"/>
    <x v="1"/>
    <n v="50.406300000000002"/>
    <x v="4"/>
    <x v="2"/>
    <x v="2"/>
  </r>
  <r>
    <n v="2843"/>
    <s v="CA-2017-135650"/>
    <x v="62"/>
    <d v="2017-03-27T00:00:00"/>
    <x v="1"/>
    <s v="AC-10660"/>
    <s v="Anna Chung"/>
    <x v="2"/>
    <x v="0"/>
    <s v="Huntsville"/>
    <x v="11"/>
    <n v="77340"/>
    <x v="3"/>
    <s v="OFF-ST-10001809"/>
    <x v="0"/>
    <x v="2"/>
    <x v="61"/>
    <n v="143.72800000000001"/>
    <x v="0"/>
    <x v="1"/>
    <n v="-32.338799999999999"/>
    <x v="2"/>
    <x v="2"/>
    <x v="2"/>
  </r>
  <r>
    <n v="196"/>
    <s v="CA-2014-140004"/>
    <x v="63"/>
    <d v="2014-03-25T00:00:00"/>
    <x v="1"/>
    <s v="CB-12025"/>
    <s v="Cassandra Brandow"/>
    <x v="2"/>
    <x v="0"/>
    <s v="Hamilton"/>
    <x v="3"/>
    <n v="45011"/>
    <x v="2"/>
    <s v="OFF-AR-10004685"/>
    <x v="0"/>
    <x v="3"/>
    <x v="62"/>
    <n v="7.4080000000000004"/>
    <x v="0"/>
    <x v="1"/>
    <n v="1.2038"/>
    <x v="2"/>
    <x v="2"/>
    <x v="2"/>
  </r>
  <r>
    <n v="991"/>
    <s v="CA-2015-153549"/>
    <x v="64"/>
    <d v="2015-03-31T00:00:00"/>
    <x v="0"/>
    <s v="SL-20155"/>
    <s v="Sara Luxemburg"/>
    <x v="1"/>
    <x v="0"/>
    <s v="Jacksonville"/>
    <x v="22"/>
    <n v="32216"/>
    <x v="0"/>
    <s v="FUR-CH-10004086"/>
    <x v="2"/>
    <x v="13"/>
    <x v="63"/>
    <n v="1166.92"/>
    <x v="3"/>
    <x v="1"/>
    <n v="131.27850000000001"/>
    <x v="0"/>
    <x v="2"/>
    <x v="2"/>
  </r>
  <r>
    <n v="1041"/>
    <s v="CA-2016-127670"/>
    <x v="65"/>
    <d v="2016-03-24T00:00:00"/>
    <x v="1"/>
    <s v="RD-19660"/>
    <s v="Robert Dilbeck"/>
    <x v="1"/>
    <x v="0"/>
    <s v="Saint Peters"/>
    <x v="23"/>
    <n v="63376"/>
    <x v="3"/>
    <s v="FUR-TA-10001095"/>
    <x v="2"/>
    <x v="6"/>
    <x v="64"/>
    <n v="697.16"/>
    <x v="6"/>
    <x v="0"/>
    <n v="146.40360000000001"/>
    <x v="2"/>
    <x v="2"/>
    <x v="2"/>
  </r>
  <r>
    <n v="4543"/>
    <s v="CA-2017-113474"/>
    <x v="66"/>
    <d v="2017-03-31T00:00:00"/>
    <x v="2"/>
    <s v="TM-21490"/>
    <s v="Tony Molinari"/>
    <x v="2"/>
    <x v="0"/>
    <s v="Oklahoma City"/>
    <x v="15"/>
    <n v="73120"/>
    <x v="3"/>
    <s v="OFF-EN-10004206"/>
    <x v="0"/>
    <x v="0"/>
    <x v="65"/>
    <n v="325.86"/>
    <x v="0"/>
    <x v="0"/>
    <n v="149.8956"/>
    <x v="7"/>
    <x v="2"/>
    <x v="2"/>
  </r>
  <r>
    <n v="3737"/>
    <s v="CA-2016-115476"/>
    <x v="67"/>
    <d v="2016-03-17T00:00:00"/>
    <x v="3"/>
    <s v="VM-21835"/>
    <s v="Vivian Mathis"/>
    <x v="2"/>
    <x v="0"/>
    <s v="Newark"/>
    <x v="14"/>
    <n v="19711"/>
    <x v="2"/>
    <s v="TEC-PH-10000673"/>
    <x v="1"/>
    <x v="7"/>
    <x v="66"/>
    <n v="129.97999999999999"/>
    <x v="0"/>
    <x v="0"/>
    <n v="62.3904"/>
    <x v="6"/>
    <x v="2"/>
    <x v="2"/>
  </r>
  <r>
    <n v="8486"/>
    <s v="CA-2017-124716"/>
    <x v="68"/>
    <d v="2017-03-31T00:00:00"/>
    <x v="1"/>
    <s v="BD-11560"/>
    <s v="Brendan Dodson"/>
    <x v="1"/>
    <x v="0"/>
    <s v="Fresno"/>
    <x v="7"/>
    <n v="93727"/>
    <x v="1"/>
    <s v="OFF-PA-10000740"/>
    <x v="0"/>
    <x v="9"/>
    <x v="67"/>
    <n v="45.68"/>
    <x v="0"/>
    <x v="0"/>
    <n v="21.012799999999999"/>
    <x v="2"/>
    <x v="2"/>
    <x v="2"/>
  </r>
  <r>
    <n v="7654"/>
    <s v="CA-2015-121552"/>
    <x v="53"/>
    <d v="2015-03-27T00:00:00"/>
    <x v="1"/>
    <s v="FW-14395"/>
    <s v="Fred Wasserman"/>
    <x v="0"/>
    <x v="0"/>
    <s v="Huntsville"/>
    <x v="6"/>
    <n v="35810"/>
    <x v="0"/>
    <s v="OFF-AR-10003217"/>
    <x v="0"/>
    <x v="3"/>
    <x v="68"/>
    <n v="19.559999999999999"/>
    <x v="6"/>
    <x v="0"/>
    <n v="5.4767999999999999"/>
    <x v="1"/>
    <x v="2"/>
    <x v="2"/>
  </r>
  <r>
    <n v="1323"/>
    <s v="CA-2017-121804"/>
    <x v="69"/>
    <d v="2017-03-08T00:00:00"/>
    <x v="1"/>
    <s v="LP-17095"/>
    <s v="Liz Preis"/>
    <x v="2"/>
    <x v="0"/>
    <s v="Murray"/>
    <x v="24"/>
    <n v="42071"/>
    <x v="0"/>
    <s v="OFF-AP-10004859"/>
    <x v="0"/>
    <x v="14"/>
    <x v="69"/>
    <n v="72.8"/>
    <x v="3"/>
    <x v="0"/>
    <n v="19.655999999999999"/>
    <x v="1"/>
    <x v="2"/>
    <x v="2"/>
  </r>
  <r>
    <n v="1328"/>
    <s v="CA-2016-128258"/>
    <x v="70"/>
    <d v="2016-04-01T00:00:00"/>
    <x v="2"/>
    <s v="CP-12085"/>
    <s v="Cathy Prescott"/>
    <x v="0"/>
    <x v="0"/>
    <s v="Norwich"/>
    <x v="25"/>
    <n v="6360"/>
    <x v="2"/>
    <s v="OFF-PA-10004156"/>
    <x v="0"/>
    <x v="9"/>
    <x v="70"/>
    <n v="11.34"/>
    <x v="1"/>
    <x v="0"/>
    <n v="5.5566000000000004"/>
    <x v="0"/>
    <x v="2"/>
    <x v="2"/>
  </r>
  <r>
    <n v="556"/>
    <s v="CA-2014-155852"/>
    <x v="71"/>
    <d v="2014-03-07T00:00:00"/>
    <x v="0"/>
    <s v="AJ-10945"/>
    <s v="Ashley Jarboe"/>
    <x v="2"/>
    <x v="0"/>
    <s v="Wilmington"/>
    <x v="8"/>
    <n v="28403"/>
    <x v="0"/>
    <s v="OFF-AR-10003560"/>
    <x v="0"/>
    <x v="3"/>
    <x v="71"/>
    <n v="19.456"/>
    <x v="6"/>
    <x v="1"/>
    <n v="3.4047999999999998"/>
    <x v="2"/>
    <x v="2"/>
    <x v="2"/>
  </r>
  <r>
    <n v="1163"/>
    <s v="CA-2014-127964"/>
    <x v="71"/>
    <d v="2014-03-08T00:00:00"/>
    <x v="1"/>
    <s v="AP-10720"/>
    <s v="Anne Pryor"/>
    <x v="1"/>
    <x v="0"/>
    <s v="New York City"/>
    <x v="20"/>
    <n v="10035"/>
    <x v="2"/>
    <s v="TEC-PH-10004700"/>
    <x v="1"/>
    <x v="7"/>
    <x v="72"/>
    <n v="9.99"/>
    <x v="1"/>
    <x v="0"/>
    <n v="4.5953999999999997"/>
    <x v="1"/>
    <x v="2"/>
    <x v="2"/>
  </r>
  <r>
    <n v="6130"/>
    <s v="CA-2017-162033"/>
    <x v="72"/>
    <d v="2017-04-02T00:00:00"/>
    <x v="1"/>
    <s v="EM-14200"/>
    <s v="Evan Minnotte"/>
    <x v="1"/>
    <x v="0"/>
    <s v="Virginia Beach"/>
    <x v="1"/>
    <n v="23464"/>
    <x v="0"/>
    <s v="TEC-AC-10003116"/>
    <x v="1"/>
    <x v="4"/>
    <x v="73"/>
    <n v="53.25"/>
    <x v="2"/>
    <x v="0"/>
    <n v="20.767499999999998"/>
    <x v="5"/>
    <x v="2"/>
    <x v="2"/>
  </r>
  <r>
    <n v="1338"/>
    <s v="CA-2017-100524"/>
    <x v="73"/>
    <d v="2017-04-02T00:00:00"/>
    <x v="0"/>
    <s v="CM-12115"/>
    <s v="Chad McGuire"/>
    <x v="2"/>
    <x v="0"/>
    <s v="New York City"/>
    <x v="20"/>
    <n v="10011"/>
    <x v="2"/>
    <s v="FUR-FU-10004018"/>
    <x v="2"/>
    <x v="5"/>
    <x v="74"/>
    <n v="29.78"/>
    <x v="0"/>
    <x v="0"/>
    <n v="8.0405999999999995"/>
    <x v="0"/>
    <x v="2"/>
    <x v="2"/>
  </r>
  <r>
    <n v="589"/>
    <s v="US-2016-156986"/>
    <x v="65"/>
    <d v="2016-03-24T00:00:00"/>
    <x v="1"/>
    <s v="ZC-21910"/>
    <s v="Zuschuss Carroll"/>
    <x v="2"/>
    <x v="0"/>
    <s v="Salem"/>
    <x v="26"/>
    <n v="97301"/>
    <x v="1"/>
    <s v="TEC-PH-10003800"/>
    <x v="1"/>
    <x v="7"/>
    <x v="75"/>
    <n v="84.784000000000006"/>
    <x v="0"/>
    <x v="1"/>
    <n v="-20.136199999999999"/>
    <x v="2"/>
    <x v="2"/>
    <x v="2"/>
  </r>
  <r>
    <n v="1372"/>
    <s v="CA-2017-136672"/>
    <x v="74"/>
    <d v="2017-03-12T00:00:00"/>
    <x v="1"/>
    <s v="MG-17890"/>
    <s v="Michael Granlund"/>
    <x v="1"/>
    <x v="0"/>
    <s v="Clinton"/>
    <x v="27"/>
    <n v="20735"/>
    <x v="2"/>
    <s v="TEC-AC-10004510"/>
    <x v="1"/>
    <x v="4"/>
    <x v="76"/>
    <n v="49.08"/>
    <x v="2"/>
    <x v="0"/>
    <n v="4.9080000000000004"/>
    <x v="1"/>
    <x v="2"/>
    <x v="2"/>
  </r>
  <r>
    <n v="4962"/>
    <s v="CA-2014-156587"/>
    <x v="75"/>
    <d v="2014-03-08T00:00:00"/>
    <x v="2"/>
    <s v="AB-10015"/>
    <s v="Aaron Bergman"/>
    <x v="2"/>
    <x v="0"/>
    <s v="Seattle"/>
    <x v="2"/>
    <n v="98103"/>
    <x v="1"/>
    <s v="FUR-CH-10004477"/>
    <x v="2"/>
    <x v="13"/>
    <x v="77"/>
    <n v="48.712000000000003"/>
    <x v="1"/>
    <x v="1"/>
    <n v="5.4801000000000002"/>
    <x v="7"/>
    <x v="2"/>
    <x v="2"/>
  </r>
  <r>
    <n v="4936"/>
    <s v="CA-2015-155124"/>
    <x v="76"/>
    <d v="2015-03-21T00:00:00"/>
    <x v="1"/>
    <s v="KS-16300"/>
    <s v="Karen Seio"/>
    <x v="0"/>
    <x v="0"/>
    <s v="Lehi"/>
    <x v="28"/>
    <n v="84043"/>
    <x v="1"/>
    <s v="TEC-PH-10003356"/>
    <x v="1"/>
    <x v="7"/>
    <x v="78"/>
    <n v="16.776"/>
    <x v="2"/>
    <x v="1"/>
    <n v="1.6776"/>
    <x v="4"/>
    <x v="2"/>
    <x v="2"/>
  </r>
  <r>
    <n v="1462"/>
    <s v="US-2016-128902"/>
    <x v="60"/>
    <d v="2016-03-15T00:00:00"/>
    <x v="1"/>
    <s v="MB-18085"/>
    <s v="Mick Brown"/>
    <x v="2"/>
    <x v="0"/>
    <s v="Vineland"/>
    <x v="18"/>
    <n v="8360"/>
    <x v="2"/>
    <s v="FUR-TA-10001095"/>
    <x v="2"/>
    <x v="6"/>
    <x v="64"/>
    <n v="244.006"/>
    <x v="0"/>
    <x v="8"/>
    <n v="-31.372199999999999"/>
    <x v="2"/>
    <x v="2"/>
    <x v="2"/>
  </r>
  <r>
    <n v="4795"/>
    <s v="CA-2015-144722"/>
    <x v="57"/>
    <d v="2015-03-23T00:00:00"/>
    <x v="1"/>
    <s v="MF-18250"/>
    <s v="Monica Federle"/>
    <x v="0"/>
    <x v="0"/>
    <s v="Los Angeles"/>
    <x v="7"/>
    <n v="90036"/>
    <x v="1"/>
    <s v="FUR-FU-10001215"/>
    <x v="2"/>
    <x v="5"/>
    <x v="79"/>
    <n v="43.13"/>
    <x v="1"/>
    <x v="0"/>
    <n v="18.114599999999999"/>
    <x v="5"/>
    <x v="2"/>
    <x v="2"/>
  </r>
  <r>
    <n v="603"/>
    <s v="CA-2014-149958"/>
    <x v="77"/>
    <d v="2014-03-19T00:00:00"/>
    <x v="1"/>
    <s v="AS-10240"/>
    <s v="Alan Shonely"/>
    <x v="2"/>
    <x v="0"/>
    <s v="Tampa"/>
    <x v="22"/>
    <n v="33614"/>
    <x v="0"/>
    <s v="OFF-ST-10001490"/>
    <x v="0"/>
    <x v="2"/>
    <x v="80"/>
    <n v="142.77600000000001"/>
    <x v="1"/>
    <x v="1"/>
    <n v="17.847000000000001"/>
    <x v="2"/>
    <x v="2"/>
    <x v="2"/>
  </r>
  <r>
    <n v="360"/>
    <s v="CA-2017-155698"/>
    <x v="78"/>
    <d v="2017-03-11T00:00:00"/>
    <x v="2"/>
    <s v="VB-21745"/>
    <s v="Victoria Brennan"/>
    <x v="0"/>
    <x v="0"/>
    <s v="Columbus"/>
    <x v="4"/>
    <n v="31907"/>
    <x v="0"/>
    <s v="OFF-AP-10001124"/>
    <x v="0"/>
    <x v="14"/>
    <x v="81"/>
    <n v="647.84"/>
    <x v="5"/>
    <x v="0"/>
    <n v="168.4384"/>
    <x v="3"/>
    <x v="2"/>
    <x v="2"/>
  </r>
  <r>
    <n v="677"/>
    <s v="US-2017-119438"/>
    <x v="79"/>
    <d v="2017-03-23T00:00:00"/>
    <x v="1"/>
    <s v="CD-11980"/>
    <s v="Carol Darley"/>
    <x v="2"/>
    <x v="0"/>
    <s v="Tyler"/>
    <x v="11"/>
    <n v="75701"/>
    <x v="3"/>
    <s v="OFF-AP-10000804"/>
    <x v="0"/>
    <x v="14"/>
    <x v="82"/>
    <n v="2.6880000000000002"/>
    <x v="2"/>
    <x v="6"/>
    <n v="-7.3920000000000003"/>
    <x v="1"/>
    <x v="2"/>
    <x v="2"/>
  </r>
  <r>
    <n v="1768"/>
    <s v="US-2014-158057"/>
    <x v="51"/>
    <d v="2014-03-26T00:00:00"/>
    <x v="1"/>
    <s v="CC-12685"/>
    <s v="Craig Carroll"/>
    <x v="2"/>
    <x v="0"/>
    <s v="Greensboro"/>
    <x v="8"/>
    <n v="27405"/>
    <x v="0"/>
    <s v="OFF-BI-10004410"/>
    <x v="0"/>
    <x v="10"/>
    <x v="83"/>
    <n v="7.6440000000000001"/>
    <x v="6"/>
    <x v="7"/>
    <n v="-5.8604000000000003"/>
    <x v="2"/>
    <x v="2"/>
    <x v="2"/>
  </r>
  <r>
    <n v="3735"/>
    <s v="CA-2017-168193"/>
    <x v="80"/>
    <d v="2017-03-11T00:00:00"/>
    <x v="0"/>
    <s v="RM-19750"/>
    <s v="Roland Murray"/>
    <x v="2"/>
    <x v="0"/>
    <s v="New York City"/>
    <x v="20"/>
    <n v="10011"/>
    <x v="2"/>
    <s v="OFF-PA-10002254"/>
    <x v="0"/>
    <x v="9"/>
    <x v="84"/>
    <n v="26.38"/>
    <x v="1"/>
    <x v="0"/>
    <n v="12.1348"/>
    <x v="1"/>
    <x v="2"/>
    <x v="2"/>
  </r>
  <r>
    <n v="447"/>
    <s v="CA-2017-154214"/>
    <x v="81"/>
    <d v="2017-03-25T00:00:00"/>
    <x v="0"/>
    <s v="TB-21595"/>
    <s v="Troy Blackwell"/>
    <x v="2"/>
    <x v="0"/>
    <s v="Columbus"/>
    <x v="29"/>
    <n v="47201"/>
    <x v="3"/>
    <s v="FUR-FU-10000206"/>
    <x v="2"/>
    <x v="5"/>
    <x v="85"/>
    <n v="2.91"/>
    <x v="1"/>
    <x v="0"/>
    <n v="1.3676999999999999"/>
    <x v="1"/>
    <x v="2"/>
    <x v="2"/>
  </r>
  <r>
    <n v="118"/>
    <s v="CA-2015-110457"/>
    <x v="82"/>
    <d v="2015-03-06T00:00:00"/>
    <x v="1"/>
    <s v="DK-13090"/>
    <s v="Dave Kipp"/>
    <x v="2"/>
    <x v="0"/>
    <s v="Seattle"/>
    <x v="2"/>
    <n v="98103"/>
    <x v="1"/>
    <s v="FUR-TA-10001768"/>
    <x v="2"/>
    <x v="6"/>
    <x v="86"/>
    <n v="787.53"/>
    <x v="2"/>
    <x v="0"/>
    <n v="165.38130000000001"/>
    <x v="2"/>
    <x v="2"/>
    <x v="2"/>
  </r>
  <r>
    <n v="2759"/>
    <s v="CA-2016-146171"/>
    <x v="60"/>
    <d v="2016-03-15T00:00:00"/>
    <x v="1"/>
    <s v="JP-16135"/>
    <s v="Julie Prescott"/>
    <x v="1"/>
    <x v="0"/>
    <s v="Columbus"/>
    <x v="4"/>
    <n v="31907"/>
    <x v="0"/>
    <s v="FUR-FU-10004270"/>
    <x v="2"/>
    <x v="5"/>
    <x v="87"/>
    <n v="76.92"/>
    <x v="6"/>
    <x v="0"/>
    <n v="31.537199999999999"/>
    <x v="2"/>
    <x v="2"/>
    <x v="2"/>
  </r>
  <r>
    <n v="804"/>
    <s v="CA-2016-115504"/>
    <x v="83"/>
    <d v="2016-03-17T00:00:00"/>
    <x v="1"/>
    <s v="MC-18130"/>
    <s v="Mike Caudle"/>
    <x v="0"/>
    <x v="0"/>
    <s v="Monroe"/>
    <x v="0"/>
    <n v="71203"/>
    <x v="0"/>
    <s v="OFF-PA-10003953"/>
    <x v="0"/>
    <x v="9"/>
    <x v="88"/>
    <n v="12.96"/>
    <x v="0"/>
    <x v="0"/>
    <n v="6.2207999999999997"/>
    <x v="1"/>
    <x v="2"/>
    <x v="2"/>
  </r>
  <r>
    <n v="3062"/>
    <s v="CA-2017-127621"/>
    <x v="69"/>
    <d v="2017-03-07T00:00:00"/>
    <x v="1"/>
    <s v="RE-19450"/>
    <s v="Richard Eichhorn"/>
    <x v="2"/>
    <x v="0"/>
    <s v="Dallas"/>
    <x v="11"/>
    <n v="75081"/>
    <x v="3"/>
    <s v="OFF-PA-10001307"/>
    <x v="0"/>
    <x v="9"/>
    <x v="89"/>
    <n v="26.88"/>
    <x v="5"/>
    <x v="1"/>
    <n v="9.7439999999999998"/>
    <x v="2"/>
    <x v="2"/>
    <x v="2"/>
  </r>
  <r>
    <n v="816"/>
    <s v="CA-2015-106565"/>
    <x v="84"/>
    <d v="2015-03-23T00:00:00"/>
    <x v="2"/>
    <s v="BW-11110"/>
    <s v="Bart Watters"/>
    <x v="0"/>
    <x v="0"/>
    <s v="Milwaukee"/>
    <x v="16"/>
    <n v="53209"/>
    <x v="3"/>
    <s v="OFF-PA-10000061"/>
    <x v="0"/>
    <x v="9"/>
    <x v="90"/>
    <n v="51.84"/>
    <x v="5"/>
    <x v="0"/>
    <n v="24.883199999999999"/>
    <x v="3"/>
    <x v="2"/>
    <x v="2"/>
  </r>
  <r>
    <n v="749"/>
    <s v="CA-2016-150889"/>
    <x v="65"/>
    <d v="2016-03-22T00:00:00"/>
    <x v="0"/>
    <s v="PB-19105"/>
    <s v="Peter Bühler"/>
    <x v="2"/>
    <x v="0"/>
    <s v="Evanston"/>
    <x v="5"/>
    <n v="60201"/>
    <x v="3"/>
    <s v="TEC-PH-10000004"/>
    <x v="1"/>
    <x v="7"/>
    <x v="91"/>
    <n v="11.992000000000001"/>
    <x v="1"/>
    <x v="1"/>
    <n v="0.89939999999999998"/>
    <x v="0"/>
    <x v="2"/>
    <x v="2"/>
  </r>
  <r>
    <n v="3065"/>
    <s v="CA-2017-106859"/>
    <x v="85"/>
    <d v="2017-03-18T00:00:00"/>
    <x v="0"/>
    <s v="BF-11215"/>
    <s v="Benjamin Farhat"/>
    <x v="1"/>
    <x v="0"/>
    <s v="Albuquerque"/>
    <x v="30"/>
    <n v="87105"/>
    <x v="1"/>
    <s v="OFF-ST-10000615"/>
    <x v="0"/>
    <x v="2"/>
    <x v="92"/>
    <n v="90.8"/>
    <x v="5"/>
    <x v="0"/>
    <n v="25.423999999999999"/>
    <x v="1"/>
    <x v="2"/>
    <x v="2"/>
  </r>
  <r>
    <n v="152"/>
    <s v="CA-2016-158834"/>
    <x v="86"/>
    <d v="2016-03-16T00:00:00"/>
    <x v="2"/>
    <s v="TW-21025"/>
    <s v="Tamara Willingham"/>
    <x v="1"/>
    <x v="0"/>
    <s v="Scottsdale"/>
    <x v="19"/>
    <n v="85254"/>
    <x v="1"/>
    <s v="OFF-AP-10000326"/>
    <x v="0"/>
    <x v="14"/>
    <x v="93"/>
    <n v="157.91999999999999"/>
    <x v="3"/>
    <x v="1"/>
    <n v="17.765999999999998"/>
    <x v="3"/>
    <x v="2"/>
    <x v="2"/>
  </r>
  <r>
    <n v="3105"/>
    <s v="US-2017-140074"/>
    <x v="62"/>
    <d v="2017-03-29T00:00:00"/>
    <x v="1"/>
    <s v="EC-14050"/>
    <s v="Erin Creighton"/>
    <x v="2"/>
    <x v="0"/>
    <s v="New York City"/>
    <x v="20"/>
    <n v="10024"/>
    <x v="2"/>
    <s v="OFF-PA-10002741"/>
    <x v="0"/>
    <x v="9"/>
    <x v="94"/>
    <n v="25.68"/>
    <x v="7"/>
    <x v="0"/>
    <n v="11.555999999999999"/>
    <x v="4"/>
    <x v="2"/>
    <x v="2"/>
  </r>
  <r>
    <n v="158"/>
    <s v="CA-2014-104269"/>
    <x v="87"/>
    <d v="2014-03-06T00:00:00"/>
    <x v="0"/>
    <s v="DB-13060"/>
    <s v="Dave Brooks"/>
    <x v="2"/>
    <x v="0"/>
    <s v="Seattle"/>
    <x v="2"/>
    <n v="98115"/>
    <x v="1"/>
    <s v="FUR-CH-10004063"/>
    <x v="2"/>
    <x v="13"/>
    <x v="95"/>
    <n v="457.56799999999998"/>
    <x v="0"/>
    <x v="1"/>
    <n v="51.476399999999998"/>
    <x v="1"/>
    <x v="2"/>
    <x v="2"/>
  </r>
  <r>
    <n v="2383"/>
    <s v="US-2017-117534"/>
    <x v="88"/>
    <d v="2017-03-26T00:00:00"/>
    <x v="2"/>
    <s v="CV-12295"/>
    <s v="Christina VanderZanden"/>
    <x v="2"/>
    <x v="0"/>
    <s v="Fresno"/>
    <x v="7"/>
    <n v="93727"/>
    <x v="1"/>
    <s v="OFF-AP-10002403"/>
    <x v="0"/>
    <x v="14"/>
    <x v="96"/>
    <n v="176.04"/>
    <x v="6"/>
    <x v="0"/>
    <n v="45.770400000000002"/>
    <x v="7"/>
    <x v="2"/>
    <x v="2"/>
  </r>
  <r>
    <n v="2433"/>
    <s v="CA-2014-148586"/>
    <x v="89"/>
    <d v="2014-04-01T00:00:00"/>
    <x v="1"/>
    <s v="AZ-10750"/>
    <s v="Annie Zypern"/>
    <x v="2"/>
    <x v="0"/>
    <s v="New York City"/>
    <x v="20"/>
    <n v="10009"/>
    <x v="2"/>
    <s v="FUR-CH-10002439"/>
    <x v="2"/>
    <x v="13"/>
    <x v="97"/>
    <n v="366.786"/>
    <x v="4"/>
    <x v="9"/>
    <n v="65.206400000000002"/>
    <x v="5"/>
    <x v="2"/>
    <x v="2"/>
  </r>
  <r>
    <n v="1254"/>
    <s v="CA-2017-144638"/>
    <x v="90"/>
    <d v="2017-03-14T00:00:00"/>
    <x v="1"/>
    <s v="MH-18115"/>
    <s v="Mick Hernandez"/>
    <x v="1"/>
    <x v="0"/>
    <s v="Chester"/>
    <x v="31"/>
    <n v="19013"/>
    <x v="2"/>
    <s v="OFF-AR-10003958"/>
    <x v="0"/>
    <x v="3"/>
    <x v="98"/>
    <n v="5.2480000000000002"/>
    <x v="0"/>
    <x v="1"/>
    <n v="0.59040000000000004"/>
    <x v="2"/>
    <x v="2"/>
    <x v="2"/>
  </r>
  <r>
    <n v="2226"/>
    <s v="CA-2016-106383"/>
    <x v="91"/>
    <d v="2016-03-21T00:00:00"/>
    <x v="0"/>
    <s v="BT-11440"/>
    <s v="Bobby Trafton"/>
    <x v="2"/>
    <x v="0"/>
    <s v="Littleton"/>
    <x v="9"/>
    <n v="80122"/>
    <x v="1"/>
    <s v="FUR-BO-10002202"/>
    <x v="2"/>
    <x v="8"/>
    <x v="99"/>
    <n v="72.293999999999997"/>
    <x v="1"/>
    <x v="7"/>
    <n v="-98.8018"/>
    <x v="0"/>
    <x v="2"/>
    <x v="2"/>
  </r>
  <r>
    <n v="495"/>
    <s v="US-2016-120929"/>
    <x v="92"/>
    <d v="2016-03-21T00:00:00"/>
    <x v="0"/>
    <s v="RO-19780"/>
    <s v="Rose O'Brian"/>
    <x v="2"/>
    <x v="0"/>
    <s v="Memphis"/>
    <x v="17"/>
    <n v="38109"/>
    <x v="0"/>
    <s v="FUR-TA-10001857"/>
    <x v="2"/>
    <x v="6"/>
    <x v="26"/>
    <n v="189.88200000000001"/>
    <x v="2"/>
    <x v="5"/>
    <n v="-94.941000000000003"/>
    <x v="3"/>
    <x v="2"/>
    <x v="2"/>
  </r>
  <r>
    <n v="1877"/>
    <s v="CA-2017-112039"/>
    <x v="88"/>
    <d v="2017-03-29T00:00:00"/>
    <x v="1"/>
    <s v="JC-15775"/>
    <s v="John Castell"/>
    <x v="2"/>
    <x v="0"/>
    <s v="San Antonio"/>
    <x v="11"/>
    <n v="78207"/>
    <x v="3"/>
    <s v="TEC-PH-10000984"/>
    <x v="1"/>
    <x v="7"/>
    <x v="100"/>
    <n v="470.37599999999998"/>
    <x v="2"/>
    <x v="1"/>
    <n v="47.037599999999998"/>
    <x v="2"/>
    <x v="2"/>
    <x v="2"/>
  </r>
  <r>
    <n v="693"/>
    <s v="CA-2015-131534"/>
    <x v="93"/>
    <d v="2015-04-02T00:00:00"/>
    <x v="1"/>
    <s v="AB-10165"/>
    <s v="Alan Barnes"/>
    <x v="2"/>
    <x v="0"/>
    <s v="Los Angeles"/>
    <x v="7"/>
    <n v="90036"/>
    <x v="1"/>
    <s v="TEC-AC-10002253"/>
    <x v="1"/>
    <x v="4"/>
    <x v="101"/>
    <n v="166.24"/>
    <x v="1"/>
    <x v="0"/>
    <n v="24.936"/>
    <x v="1"/>
    <x v="2"/>
    <x v="2"/>
  </r>
  <r>
    <n v="2163"/>
    <s v="CA-2017-166296"/>
    <x v="85"/>
    <d v="2017-03-19T00:00:00"/>
    <x v="1"/>
    <s v="KF-16285"/>
    <s v="Karen Ferguson"/>
    <x v="1"/>
    <x v="0"/>
    <s v="Manteca"/>
    <x v="7"/>
    <n v="95336"/>
    <x v="1"/>
    <s v="OFF-PA-10004359"/>
    <x v="0"/>
    <x v="9"/>
    <x v="102"/>
    <n v="314.55"/>
    <x v="2"/>
    <x v="0"/>
    <n v="150.98400000000001"/>
    <x v="4"/>
    <x v="2"/>
    <x v="2"/>
  </r>
  <r>
    <n v="448"/>
    <s v="CA-2016-166674"/>
    <x v="94"/>
    <d v="2016-04-03T00:00:00"/>
    <x v="0"/>
    <s v="RB-19360"/>
    <s v="Raymond Buch"/>
    <x v="2"/>
    <x v="0"/>
    <s v="Auburn"/>
    <x v="20"/>
    <n v="13021"/>
    <x v="2"/>
    <s v="OFF-AR-10000588"/>
    <x v="0"/>
    <x v="3"/>
    <x v="103"/>
    <n v="59.52"/>
    <x v="2"/>
    <x v="0"/>
    <n v="15.475199999999999"/>
    <x v="0"/>
    <x v="3"/>
    <x v="3"/>
  </r>
  <r>
    <n v="1180"/>
    <s v="CA-2016-168081"/>
    <x v="95"/>
    <d v="2016-04-27T00:00:00"/>
    <x v="0"/>
    <s v="CA-12055"/>
    <s v="Cathy Armstrong"/>
    <x v="1"/>
    <x v="0"/>
    <s v="Houston"/>
    <x v="11"/>
    <n v="77070"/>
    <x v="3"/>
    <s v="TEC-AC-10003174"/>
    <x v="1"/>
    <x v="4"/>
    <x v="104"/>
    <n v="258.69600000000003"/>
    <x v="2"/>
    <x v="1"/>
    <n v="64.674000000000007"/>
    <x v="3"/>
    <x v="3"/>
    <x v="3"/>
  </r>
  <r>
    <n v="430"/>
    <s v="US-2016-123750"/>
    <x v="96"/>
    <d v="2016-04-21T00:00:00"/>
    <x v="1"/>
    <s v="RB-19795"/>
    <s v="Ross Baird"/>
    <x v="1"/>
    <x v="0"/>
    <s v="Gastonia"/>
    <x v="8"/>
    <n v="28052"/>
    <x v="0"/>
    <s v="OFF-BI-10004584"/>
    <x v="0"/>
    <x v="10"/>
    <x v="105"/>
    <n v="189.58799999999999"/>
    <x v="0"/>
    <x v="7"/>
    <n v="-145.35079999999999"/>
    <x v="4"/>
    <x v="3"/>
    <x v="3"/>
  </r>
  <r>
    <n v="332"/>
    <s v="US-2016-150147"/>
    <x v="97"/>
    <d v="2016-04-29T00:00:00"/>
    <x v="0"/>
    <s v="JL-15850"/>
    <s v="John Lucas"/>
    <x v="2"/>
    <x v="0"/>
    <s v="Philadelphia"/>
    <x v="31"/>
    <n v="19134"/>
    <x v="2"/>
    <s v="TEC-PH-10004614"/>
    <x v="1"/>
    <x v="7"/>
    <x v="106"/>
    <n v="82.8"/>
    <x v="0"/>
    <x v="5"/>
    <n v="-20.7"/>
    <x v="2"/>
    <x v="3"/>
    <x v="3"/>
  </r>
  <r>
    <n v="886"/>
    <s v="CA-2015-143602"/>
    <x v="98"/>
    <d v="2015-04-28T00:00:00"/>
    <x v="0"/>
    <s v="JS-15595"/>
    <s v="Jill Stevenson"/>
    <x v="0"/>
    <x v="0"/>
    <s v="Los Angeles"/>
    <x v="7"/>
    <n v="90045"/>
    <x v="1"/>
    <s v="OFF-BI-10002071"/>
    <x v="0"/>
    <x v="10"/>
    <x v="43"/>
    <n v="13.944000000000001"/>
    <x v="2"/>
    <x v="1"/>
    <n v="4.5317999999999996"/>
    <x v="3"/>
    <x v="3"/>
    <x v="3"/>
  </r>
  <r>
    <n v="463"/>
    <s v="CA-2016-109869"/>
    <x v="99"/>
    <d v="2016-04-29T00:00:00"/>
    <x v="1"/>
    <s v="TN-21040"/>
    <s v="Tanja Norvell"/>
    <x v="1"/>
    <x v="0"/>
    <s v="Phoenix"/>
    <x v="19"/>
    <n v="85023"/>
    <x v="1"/>
    <s v="FUR-FU-10000023"/>
    <x v="2"/>
    <x v="5"/>
    <x v="107"/>
    <n v="23.56"/>
    <x v="3"/>
    <x v="1"/>
    <n v="7.0679999999999996"/>
    <x v="5"/>
    <x v="3"/>
    <x v="3"/>
  </r>
  <r>
    <n v="754"/>
    <s v="CA-2016-110499"/>
    <x v="100"/>
    <d v="2016-04-09T00:00:00"/>
    <x v="2"/>
    <s v="YC-21895"/>
    <s v="Yoseph Carroll"/>
    <x v="0"/>
    <x v="0"/>
    <s v="San Francisco"/>
    <x v="7"/>
    <n v="94110"/>
    <x v="1"/>
    <s v="TEC-CO-10002095"/>
    <x v="1"/>
    <x v="15"/>
    <x v="108"/>
    <n v="1199.9760000000001"/>
    <x v="2"/>
    <x v="1"/>
    <n v="374.99250000000001"/>
    <x v="0"/>
    <x v="3"/>
    <x v="3"/>
  </r>
  <r>
    <n v="922"/>
    <s v="CA-2015-111164"/>
    <x v="101"/>
    <d v="2015-04-15T00:00:00"/>
    <x v="1"/>
    <s v="SE-20110"/>
    <s v="Sanjit Engle"/>
    <x v="2"/>
    <x v="0"/>
    <s v="New York City"/>
    <x v="20"/>
    <n v="10009"/>
    <x v="2"/>
    <s v="TEC-AC-10002473"/>
    <x v="1"/>
    <x v="4"/>
    <x v="109"/>
    <n v="85.14"/>
    <x v="2"/>
    <x v="0"/>
    <n v="34.907400000000003"/>
    <x v="2"/>
    <x v="3"/>
    <x v="3"/>
  </r>
  <r>
    <n v="953"/>
    <s v="CA-2017-131156"/>
    <x v="102"/>
    <d v="2017-04-07T00:00:00"/>
    <x v="1"/>
    <s v="KH-16360"/>
    <s v="Katherine Hughes"/>
    <x v="2"/>
    <x v="0"/>
    <s v="Philadelphia"/>
    <x v="31"/>
    <n v="19143"/>
    <x v="2"/>
    <s v="FUR-FU-10001940"/>
    <x v="2"/>
    <x v="5"/>
    <x v="110"/>
    <n v="25.472000000000001"/>
    <x v="6"/>
    <x v="1"/>
    <n v="7.6416000000000004"/>
    <x v="2"/>
    <x v="3"/>
    <x v="3"/>
  </r>
  <r>
    <n v="1072"/>
    <s v="CA-2016-152814"/>
    <x v="103"/>
    <d v="2016-05-02T00:00:00"/>
    <x v="1"/>
    <s v="EH-14005"/>
    <s v="Erica Hernandez"/>
    <x v="1"/>
    <x v="0"/>
    <s v="Denver"/>
    <x v="9"/>
    <n v="80219"/>
    <x v="1"/>
    <s v="OFF-PA-10001970"/>
    <x v="0"/>
    <x v="9"/>
    <x v="111"/>
    <n v="29.472000000000001"/>
    <x v="2"/>
    <x v="1"/>
    <n v="9.9467999999999996"/>
    <x v="2"/>
    <x v="3"/>
    <x v="3"/>
  </r>
  <r>
    <n v="805"/>
    <s v="CA-2017-135783"/>
    <x v="104"/>
    <d v="2017-04-24T00:00:00"/>
    <x v="2"/>
    <s v="GM-14440"/>
    <s v="Gary McGarr"/>
    <x v="2"/>
    <x v="0"/>
    <s v="San Francisco"/>
    <x v="7"/>
    <n v="94122"/>
    <x v="1"/>
    <s v="FUR-FU-10000794"/>
    <x v="2"/>
    <x v="5"/>
    <x v="112"/>
    <n v="18.28"/>
    <x v="0"/>
    <x v="0"/>
    <n v="6.2152000000000003"/>
    <x v="0"/>
    <x v="3"/>
    <x v="3"/>
  </r>
  <r>
    <n v="379"/>
    <s v="CA-2015-130792"/>
    <x v="105"/>
    <d v="2015-05-05T00:00:00"/>
    <x v="1"/>
    <s v="RA-19915"/>
    <s v="Russell Applegate"/>
    <x v="2"/>
    <x v="0"/>
    <s v="Houston"/>
    <x v="11"/>
    <n v="77095"/>
    <x v="3"/>
    <s v="OFF-AP-10000696"/>
    <x v="0"/>
    <x v="14"/>
    <x v="113"/>
    <n v="8.6519999999999992"/>
    <x v="2"/>
    <x v="6"/>
    <n v="-20.3322"/>
    <x v="5"/>
    <x v="3"/>
    <x v="3"/>
  </r>
  <r>
    <n v="418"/>
    <s v="CA-2016-148796"/>
    <x v="106"/>
    <d v="2016-04-18T00:00:00"/>
    <x v="1"/>
    <s v="PB-19150"/>
    <s v="Philip Brown"/>
    <x v="2"/>
    <x v="0"/>
    <s v="Los Angeles"/>
    <x v="7"/>
    <n v="90004"/>
    <x v="1"/>
    <s v="FUR-CH-10004886"/>
    <x v="2"/>
    <x v="13"/>
    <x v="114"/>
    <n v="383.8"/>
    <x v="3"/>
    <x v="1"/>
    <n v="38.380000000000003"/>
    <x v="2"/>
    <x v="3"/>
    <x v="3"/>
  </r>
  <r>
    <n v="885"/>
    <s v="CA-2014-134061"/>
    <x v="107"/>
    <d v="2014-05-04T00:00:00"/>
    <x v="1"/>
    <s v="LL-16840"/>
    <s v="Lauren Leatherbury"/>
    <x v="2"/>
    <x v="0"/>
    <s v="Rochester"/>
    <x v="20"/>
    <n v="14609"/>
    <x v="2"/>
    <s v="FUR-FU-10001424"/>
    <x v="2"/>
    <x v="5"/>
    <x v="115"/>
    <n v="17.46"/>
    <x v="0"/>
    <x v="0"/>
    <n v="5.9363999999999999"/>
    <x v="1"/>
    <x v="3"/>
    <x v="3"/>
  </r>
  <r>
    <n v="869"/>
    <s v="CA-2014-136742"/>
    <x v="108"/>
    <d v="2014-04-10T00:00:00"/>
    <x v="1"/>
    <s v="GP-14740"/>
    <s v="Guy Phonely"/>
    <x v="0"/>
    <x v="0"/>
    <s v="Lancaster"/>
    <x v="31"/>
    <n v="17602"/>
    <x v="2"/>
    <s v="OFF-BI-10003719"/>
    <x v="0"/>
    <x v="10"/>
    <x v="116"/>
    <n v="44.91"/>
    <x v="7"/>
    <x v="7"/>
    <n v="-35.927999999999997"/>
    <x v="2"/>
    <x v="3"/>
    <x v="3"/>
  </r>
  <r>
    <n v="324"/>
    <s v="CA-2016-162138"/>
    <x v="109"/>
    <d v="2016-04-27T00:00:00"/>
    <x v="1"/>
    <s v="GK-14620"/>
    <s v="Grace Kelly"/>
    <x v="0"/>
    <x v="0"/>
    <s v="Hesperia"/>
    <x v="7"/>
    <n v="92345"/>
    <x v="1"/>
    <s v="OFF-BI-10004593"/>
    <x v="0"/>
    <x v="10"/>
    <x v="40"/>
    <n v="251.52"/>
    <x v="7"/>
    <x v="1"/>
    <n v="81.744"/>
    <x v="2"/>
    <x v="3"/>
    <x v="3"/>
  </r>
  <r>
    <n v="355"/>
    <s v="CA-2016-138520"/>
    <x v="110"/>
    <d v="2016-04-13T00:00:00"/>
    <x v="1"/>
    <s v="JL-15505"/>
    <s v="Jeremy Lonsdale"/>
    <x v="2"/>
    <x v="0"/>
    <s v="New York City"/>
    <x v="20"/>
    <n v="10035"/>
    <x v="2"/>
    <s v="FUR-BO-10002268"/>
    <x v="2"/>
    <x v="8"/>
    <x v="117"/>
    <n v="388.70400000000001"/>
    <x v="7"/>
    <x v="1"/>
    <n v="-4.8587999999999996"/>
    <x v="1"/>
    <x v="3"/>
    <x v="3"/>
  </r>
  <r>
    <n v="965"/>
    <s v="CA-2017-135279"/>
    <x v="111"/>
    <d v="2017-04-11T00:00:00"/>
    <x v="2"/>
    <s v="BS-11800"/>
    <s v="Bryan Spruell"/>
    <x v="1"/>
    <x v="0"/>
    <s v="New York City"/>
    <x v="20"/>
    <n v="10011"/>
    <x v="2"/>
    <s v="OFF-LA-10004055"/>
    <x v="0"/>
    <x v="1"/>
    <x v="118"/>
    <n v="9.82"/>
    <x v="0"/>
    <x v="0"/>
    <n v="4.8117999999999999"/>
    <x v="0"/>
    <x v="3"/>
    <x v="3"/>
  </r>
  <r>
    <n v="900"/>
    <s v="US-2016-114622"/>
    <x v="112"/>
    <d v="2016-04-12T00:00:00"/>
    <x v="2"/>
    <s v="JR-16210"/>
    <s v="Justin Ritter"/>
    <x v="0"/>
    <x v="0"/>
    <s v="Springfield"/>
    <x v="3"/>
    <n v="45503"/>
    <x v="2"/>
    <s v="OFF-BI-10004716"/>
    <x v="0"/>
    <x v="10"/>
    <x v="119"/>
    <n v="8.9039999999999999"/>
    <x v="0"/>
    <x v="7"/>
    <n v="-6.5296000000000003"/>
    <x v="0"/>
    <x v="3"/>
    <x v="3"/>
  </r>
  <r>
    <n v="1054"/>
    <s v="CA-2015-110667"/>
    <x v="113"/>
    <d v="2015-04-08T00:00:00"/>
    <x v="1"/>
    <s v="NF-18595"/>
    <s v="Nicole Fjeld"/>
    <x v="1"/>
    <x v="0"/>
    <s v="New York City"/>
    <x v="20"/>
    <n v="10009"/>
    <x v="2"/>
    <s v="OFF-AR-10000716"/>
    <x v="0"/>
    <x v="3"/>
    <x v="120"/>
    <n v="11.16"/>
    <x v="0"/>
    <x v="0"/>
    <n v="4.3524000000000003"/>
    <x v="2"/>
    <x v="3"/>
    <x v="3"/>
  </r>
  <r>
    <n v="859"/>
    <s v="CA-2017-161984"/>
    <x v="114"/>
    <d v="2017-04-15T00:00:00"/>
    <x v="1"/>
    <s v="SJ-20125"/>
    <s v="Sanjit Jacobs"/>
    <x v="1"/>
    <x v="0"/>
    <s v="New Brunswick"/>
    <x v="18"/>
    <n v="8901"/>
    <x v="2"/>
    <s v="OFF-PA-10004569"/>
    <x v="0"/>
    <x v="9"/>
    <x v="121"/>
    <n v="7.61"/>
    <x v="1"/>
    <x v="0"/>
    <n v="3.5767000000000002"/>
    <x v="1"/>
    <x v="3"/>
    <x v="3"/>
  </r>
  <r>
    <n v="611"/>
    <s v="CA-2016-161816"/>
    <x v="103"/>
    <d v="2016-05-01T00:00:00"/>
    <x v="2"/>
    <s v="NB-18655"/>
    <s v="Nona Balk"/>
    <x v="0"/>
    <x v="0"/>
    <s v="Dallas"/>
    <x v="11"/>
    <n v="75217"/>
    <x v="3"/>
    <s v="TEC-PH-10003012"/>
    <x v="1"/>
    <x v="7"/>
    <x v="122"/>
    <n v="369.57600000000002"/>
    <x v="2"/>
    <x v="1"/>
    <n v="41.577300000000001"/>
    <x v="3"/>
    <x v="3"/>
    <x v="3"/>
  </r>
  <r>
    <n v="704"/>
    <s v="CA-2015-142027"/>
    <x v="115"/>
    <d v="2015-04-14T00:00:00"/>
    <x v="1"/>
    <s v="JK-15370"/>
    <s v="Jay Kimmel"/>
    <x v="2"/>
    <x v="0"/>
    <s v="Long Beach"/>
    <x v="7"/>
    <n v="90805"/>
    <x v="1"/>
    <s v="FUR-TA-10002774"/>
    <x v="2"/>
    <x v="6"/>
    <x v="123"/>
    <n v="369.91199999999998"/>
    <x v="2"/>
    <x v="1"/>
    <n v="-13.871700000000001"/>
    <x v="1"/>
    <x v="3"/>
    <x v="3"/>
  </r>
  <r>
    <n v="1062"/>
    <s v="CA-2015-161263"/>
    <x v="116"/>
    <d v="2015-04-21T00:00:00"/>
    <x v="1"/>
    <s v="TS-21160"/>
    <s v="Theresa Swint"/>
    <x v="0"/>
    <x v="0"/>
    <s v="Toledo"/>
    <x v="3"/>
    <n v="43615"/>
    <x v="2"/>
    <s v="OFF-AP-10002350"/>
    <x v="0"/>
    <x v="14"/>
    <x v="124"/>
    <n v="45.216000000000001"/>
    <x v="2"/>
    <x v="1"/>
    <n v="4.5216000000000003"/>
    <x v="1"/>
    <x v="3"/>
    <x v="3"/>
  </r>
  <r>
    <n v="711"/>
    <s v="CA-2014-113887"/>
    <x v="117"/>
    <d v="2014-04-07T00:00:00"/>
    <x v="2"/>
    <s v="TH-21550"/>
    <s v="Tracy Hopkins"/>
    <x v="1"/>
    <x v="0"/>
    <s v="New York City"/>
    <x v="20"/>
    <n v="10035"/>
    <x v="2"/>
    <s v="OFF-PA-10004071"/>
    <x v="0"/>
    <x v="9"/>
    <x v="125"/>
    <n v="55.48"/>
    <x v="1"/>
    <x v="0"/>
    <n v="26.630400000000002"/>
    <x v="0"/>
    <x v="3"/>
    <x v="3"/>
  </r>
  <r>
    <n v="1591"/>
    <s v="US-2016-132423"/>
    <x v="96"/>
    <d v="2016-04-19T00:00:00"/>
    <x v="1"/>
    <s v="MY-18295"/>
    <s v="Muhammed Yedwab"/>
    <x v="0"/>
    <x v="0"/>
    <s v="Grapevine"/>
    <x v="11"/>
    <n v="76051"/>
    <x v="3"/>
    <s v="OFF-AR-10001221"/>
    <x v="0"/>
    <x v="3"/>
    <x v="126"/>
    <n v="33.488"/>
    <x v="4"/>
    <x v="1"/>
    <n v="5.8604000000000003"/>
    <x v="2"/>
    <x v="3"/>
    <x v="3"/>
  </r>
  <r>
    <n v="1147"/>
    <s v="CA-2015-112452"/>
    <x v="113"/>
    <d v="2015-04-04T00:00:00"/>
    <x v="3"/>
    <s v="NC-18340"/>
    <s v="Nat Carroll"/>
    <x v="2"/>
    <x v="0"/>
    <s v="Lansing"/>
    <x v="13"/>
    <n v="48911"/>
    <x v="3"/>
    <s v="OFF-AP-10003849"/>
    <x v="0"/>
    <x v="14"/>
    <x v="127"/>
    <n v="644.07600000000002"/>
    <x v="0"/>
    <x v="9"/>
    <n v="107.346"/>
    <x v="6"/>
    <x v="3"/>
    <x v="3"/>
  </r>
  <r>
    <n v="3503"/>
    <s v="CA-2017-125115"/>
    <x v="114"/>
    <d v="2017-04-10T00:00:00"/>
    <x v="3"/>
    <s v="RD-19930"/>
    <s v="Russell D'Ascenzo"/>
    <x v="2"/>
    <x v="0"/>
    <s v="Austin"/>
    <x v="11"/>
    <n v="78745"/>
    <x v="3"/>
    <s v="OFF-PA-10004101"/>
    <x v="0"/>
    <x v="9"/>
    <x v="128"/>
    <n v="10.368"/>
    <x v="0"/>
    <x v="1"/>
    <n v="3.6288"/>
    <x v="6"/>
    <x v="3"/>
    <x v="3"/>
  </r>
  <r>
    <n v="3470"/>
    <s v="CA-2015-100888"/>
    <x v="118"/>
    <d v="2015-04-10T00:00:00"/>
    <x v="1"/>
    <s v="MH-17455"/>
    <s v="Mark Hamilton"/>
    <x v="2"/>
    <x v="0"/>
    <s v="Jacksonville"/>
    <x v="8"/>
    <n v="28540"/>
    <x v="0"/>
    <s v="OFF-PA-10001019"/>
    <x v="0"/>
    <x v="9"/>
    <x v="129"/>
    <n v="47.951999999999998"/>
    <x v="2"/>
    <x v="1"/>
    <n v="16.183800000000002"/>
    <x v="2"/>
    <x v="3"/>
    <x v="3"/>
  </r>
  <r>
    <n v="2001"/>
    <s v="CA-2017-166128"/>
    <x v="119"/>
    <d v="2017-04-18T00:00:00"/>
    <x v="1"/>
    <s v="LW-17215"/>
    <s v="Luke Weiss"/>
    <x v="2"/>
    <x v="0"/>
    <s v="Pasadena"/>
    <x v="7"/>
    <n v="91104"/>
    <x v="1"/>
    <s v="TEC-AC-10001767"/>
    <x v="1"/>
    <x v="4"/>
    <x v="130"/>
    <n v="199.95"/>
    <x v="3"/>
    <x v="0"/>
    <n v="21.994499999999999"/>
    <x v="5"/>
    <x v="3"/>
    <x v="3"/>
  </r>
  <r>
    <n v="177"/>
    <s v="US-2017-152366"/>
    <x v="120"/>
    <d v="2017-04-25T00:00:00"/>
    <x v="0"/>
    <s v="SJ-20500"/>
    <s v="Shirley Jackson"/>
    <x v="2"/>
    <x v="0"/>
    <s v="Houston"/>
    <x v="11"/>
    <n v="77036"/>
    <x v="3"/>
    <s v="OFF-AP-10002684"/>
    <x v="0"/>
    <x v="14"/>
    <x v="131"/>
    <n v="97.263999999999996"/>
    <x v="6"/>
    <x v="6"/>
    <n v="-243.16"/>
    <x v="2"/>
    <x v="3"/>
    <x v="3"/>
  </r>
  <r>
    <n v="73"/>
    <s v="US-2015-134026"/>
    <x v="121"/>
    <d v="2015-05-02T00:00:00"/>
    <x v="1"/>
    <s v="JE-15745"/>
    <s v="Joel Eaton"/>
    <x v="2"/>
    <x v="0"/>
    <s v="Memphis"/>
    <x v="17"/>
    <n v="38109"/>
    <x v="0"/>
    <s v="FUR-CH-10000513"/>
    <x v="2"/>
    <x v="13"/>
    <x v="132"/>
    <n v="831.93600000000004"/>
    <x v="5"/>
    <x v="1"/>
    <n v="-114.3912"/>
    <x v="4"/>
    <x v="3"/>
    <x v="3"/>
  </r>
  <r>
    <n v="2422"/>
    <s v="CA-2016-155551"/>
    <x v="122"/>
    <d v="2016-04-23T00:00:00"/>
    <x v="1"/>
    <s v="CR-12580"/>
    <s v="Clay Rozendal"/>
    <x v="1"/>
    <x v="0"/>
    <s v="Elmhurst"/>
    <x v="5"/>
    <n v="60126"/>
    <x v="3"/>
    <s v="OFF-ST-10003656"/>
    <x v="0"/>
    <x v="2"/>
    <x v="133"/>
    <n v="230.376"/>
    <x v="2"/>
    <x v="1"/>
    <n v="-48.954900000000002"/>
    <x v="1"/>
    <x v="3"/>
    <x v="3"/>
  </r>
  <r>
    <n v="2525"/>
    <s v="CA-2015-124541"/>
    <x v="118"/>
    <d v="2015-04-10T00:00:00"/>
    <x v="1"/>
    <s v="TT-21220"/>
    <s v="Thomas Thornton"/>
    <x v="2"/>
    <x v="0"/>
    <s v="Houston"/>
    <x v="11"/>
    <n v="77041"/>
    <x v="3"/>
    <s v="OFF-AR-10004078"/>
    <x v="0"/>
    <x v="3"/>
    <x v="3"/>
    <n v="42.048000000000002"/>
    <x v="8"/>
    <x v="1"/>
    <n v="5.2560000000000002"/>
    <x v="2"/>
    <x v="3"/>
    <x v="3"/>
  </r>
  <r>
    <n v="2542"/>
    <s v="CA-2016-144792"/>
    <x v="123"/>
    <d v="2016-05-04T00:00:00"/>
    <x v="1"/>
    <s v="KD-16615"/>
    <s v="Ken Dana"/>
    <x v="0"/>
    <x v="0"/>
    <s v="Scottsdale"/>
    <x v="19"/>
    <n v="85254"/>
    <x v="1"/>
    <s v="FUR-FU-10002759"/>
    <x v="2"/>
    <x v="5"/>
    <x v="134"/>
    <n v="111.88800000000001"/>
    <x v="4"/>
    <x v="1"/>
    <n v="22.377600000000001"/>
    <x v="2"/>
    <x v="3"/>
    <x v="3"/>
  </r>
  <r>
    <n v="2614"/>
    <s v="CA-2016-137204"/>
    <x v="103"/>
    <d v="2016-05-05T00:00:00"/>
    <x v="1"/>
    <s v="BO-11350"/>
    <s v="Bill Overfelt"/>
    <x v="0"/>
    <x v="0"/>
    <s v="Los Angeles"/>
    <x v="7"/>
    <n v="90045"/>
    <x v="1"/>
    <s v="FUR-CH-10002304"/>
    <x v="2"/>
    <x v="13"/>
    <x v="135"/>
    <n v="41.567999999999998"/>
    <x v="0"/>
    <x v="1"/>
    <n v="2.5979999999999999"/>
    <x v="5"/>
    <x v="3"/>
    <x v="3"/>
  </r>
  <r>
    <n v="2615"/>
    <s v="CA-2014-147298"/>
    <x v="124"/>
    <d v="2014-05-03T00:00:00"/>
    <x v="1"/>
    <s v="AG-10300"/>
    <s v="Aleksandra Gannaway"/>
    <x v="0"/>
    <x v="0"/>
    <s v="Los Angeles"/>
    <x v="7"/>
    <n v="90049"/>
    <x v="1"/>
    <s v="FUR-CH-10004886"/>
    <x v="2"/>
    <x v="13"/>
    <x v="114"/>
    <n v="230.28"/>
    <x v="2"/>
    <x v="1"/>
    <n v="23.027999999999999"/>
    <x v="5"/>
    <x v="3"/>
    <x v="3"/>
  </r>
  <r>
    <n v="3252"/>
    <s v="CA-2017-119389"/>
    <x v="125"/>
    <d v="2017-04-19T00:00:00"/>
    <x v="2"/>
    <s v="BG-11740"/>
    <s v="Bruce Geld"/>
    <x v="2"/>
    <x v="0"/>
    <s v="Philadelphia"/>
    <x v="31"/>
    <n v="19120"/>
    <x v="2"/>
    <s v="FUR-FU-10001473"/>
    <x v="2"/>
    <x v="5"/>
    <x v="136"/>
    <n v="60.311999999999998"/>
    <x v="2"/>
    <x v="1"/>
    <n v="5.2773000000000003"/>
    <x v="0"/>
    <x v="3"/>
    <x v="3"/>
  </r>
  <r>
    <n v="2663"/>
    <s v="CA-2017-159604"/>
    <x v="126"/>
    <d v="2017-04-15T00:00:00"/>
    <x v="2"/>
    <s v="CL-12700"/>
    <s v="Craig Leslie"/>
    <x v="1"/>
    <x v="0"/>
    <s v="Springfield"/>
    <x v="23"/>
    <n v="65807"/>
    <x v="3"/>
    <s v="OFF-BI-10003460"/>
    <x v="0"/>
    <x v="10"/>
    <x v="137"/>
    <n v="8.76"/>
    <x v="0"/>
    <x v="0"/>
    <n v="4.2047999999999996"/>
    <x v="7"/>
    <x v="3"/>
    <x v="3"/>
  </r>
  <r>
    <n v="2753"/>
    <s v="CA-2015-155306"/>
    <x v="127"/>
    <d v="2015-04-21T00:00:00"/>
    <x v="1"/>
    <s v="GA-14515"/>
    <s v="George Ashbrook"/>
    <x v="2"/>
    <x v="0"/>
    <s v="San Francisco"/>
    <x v="7"/>
    <n v="94122"/>
    <x v="1"/>
    <s v="OFF-AR-10003251"/>
    <x v="0"/>
    <x v="3"/>
    <x v="138"/>
    <n v="5.56"/>
    <x v="0"/>
    <x v="0"/>
    <n v="2.2240000000000002"/>
    <x v="2"/>
    <x v="3"/>
    <x v="3"/>
  </r>
  <r>
    <n v="119"/>
    <s v="US-2015-136476"/>
    <x v="128"/>
    <d v="2015-04-10T00:00:00"/>
    <x v="1"/>
    <s v="GG-14650"/>
    <s v="Greg Guthrie"/>
    <x v="0"/>
    <x v="0"/>
    <s v="Bristol"/>
    <x v="17"/>
    <n v="37620"/>
    <x v="0"/>
    <s v="OFF-BI-10003650"/>
    <x v="0"/>
    <x v="10"/>
    <x v="139"/>
    <n v="157.79400000000001"/>
    <x v="1"/>
    <x v="7"/>
    <n v="-115.71559999999999"/>
    <x v="1"/>
    <x v="3"/>
    <x v="3"/>
  </r>
  <r>
    <n v="89"/>
    <s v="CA-2016-159695"/>
    <x v="129"/>
    <d v="2016-04-10T00:00:00"/>
    <x v="0"/>
    <s v="GM-14455"/>
    <s v="Gary Mitchum"/>
    <x v="1"/>
    <x v="0"/>
    <s v="Houston"/>
    <x v="11"/>
    <n v="77095"/>
    <x v="3"/>
    <s v="OFF-ST-10003442"/>
    <x v="0"/>
    <x v="2"/>
    <x v="140"/>
    <n v="158.36799999999999"/>
    <x v="4"/>
    <x v="1"/>
    <n v="13.857200000000001"/>
    <x v="1"/>
    <x v="3"/>
    <x v="3"/>
  </r>
  <r>
    <n v="3054"/>
    <s v="CA-2016-128517"/>
    <x v="130"/>
    <d v="2016-04-14T00:00:00"/>
    <x v="0"/>
    <s v="SW-20350"/>
    <s v="Sean Wendt"/>
    <x v="1"/>
    <x v="0"/>
    <s v="Detroit"/>
    <x v="13"/>
    <n v="48227"/>
    <x v="3"/>
    <s v="TEC-PH-10002555"/>
    <x v="1"/>
    <x v="7"/>
    <x v="141"/>
    <n v="517.9"/>
    <x v="0"/>
    <x v="0"/>
    <n v="134.654"/>
    <x v="1"/>
    <x v="3"/>
    <x v="3"/>
  </r>
  <r>
    <n v="3049"/>
    <s v="CA-2017-121419"/>
    <x v="131"/>
    <d v="2017-04-04T00:00:00"/>
    <x v="2"/>
    <s v="TC-21475"/>
    <s v="Tony Chapman"/>
    <x v="1"/>
    <x v="0"/>
    <s v="Columbus"/>
    <x v="4"/>
    <n v="31907"/>
    <x v="0"/>
    <s v="FUR-TA-10004534"/>
    <x v="2"/>
    <x v="6"/>
    <x v="142"/>
    <n v="411.8"/>
    <x v="0"/>
    <x v="0"/>
    <n v="70.006"/>
    <x v="0"/>
    <x v="3"/>
    <x v="3"/>
  </r>
  <r>
    <n v="2769"/>
    <s v="US-2015-122140"/>
    <x v="132"/>
    <d v="2015-04-07T00:00:00"/>
    <x v="1"/>
    <s v="MO-17950"/>
    <s v="Michael Oakman"/>
    <x v="2"/>
    <x v="0"/>
    <s v="Dallas"/>
    <x v="11"/>
    <n v="75220"/>
    <x v="3"/>
    <s v="OFF-AP-10001242"/>
    <x v="0"/>
    <x v="14"/>
    <x v="143"/>
    <n v="32.192"/>
    <x v="0"/>
    <x v="6"/>
    <n v="-80.48"/>
    <x v="1"/>
    <x v="3"/>
    <x v="3"/>
  </r>
  <r>
    <n v="3011"/>
    <s v="CA-2017-134845"/>
    <x v="125"/>
    <d v="2017-04-23T00:00:00"/>
    <x v="1"/>
    <s v="SR-20425"/>
    <s v="Sharelle Roach"/>
    <x v="1"/>
    <x v="0"/>
    <s v="Louisville"/>
    <x v="9"/>
    <n v="80027"/>
    <x v="1"/>
    <s v="OFF-BI-10000773"/>
    <x v="0"/>
    <x v="10"/>
    <x v="144"/>
    <n v="12.03"/>
    <x v="3"/>
    <x v="7"/>
    <n v="-9.2230000000000008"/>
    <x v="4"/>
    <x v="3"/>
    <x v="3"/>
  </r>
  <r>
    <n v="2848"/>
    <s v="CA-2017-157854"/>
    <x v="133"/>
    <d v="2017-04-15T00:00:00"/>
    <x v="1"/>
    <s v="DM-13345"/>
    <s v="Denise Monton"/>
    <x v="0"/>
    <x v="0"/>
    <s v="Roswell"/>
    <x v="4"/>
    <n v="30076"/>
    <x v="0"/>
    <s v="FUR-FU-10003832"/>
    <x v="2"/>
    <x v="5"/>
    <x v="145"/>
    <n v="56.28"/>
    <x v="7"/>
    <x v="0"/>
    <n v="15.7584"/>
    <x v="5"/>
    <x v="3"/>
    <x v="3"/>
  </r>
  <r>
    <n v="1749"/>
    <s v="US-2014-157406"/>
    <x v="134"/>
    <d v="2014-04-29T00:00:00"/>
    <x v="1"/>
    <s v="DA-13450"/>
    <s v="Dianna Arnett"/>
    <x v="1"/>
    <x v="0"/>
    <s v="Houston"/>
    <x v="11"/>
    <n v="77095"/>
    <x v="3"/>
    <s v="OFF-PA-10003543"/>
    <x v="0"/>
    <x v="9"/>
    <x v="146"/>
    <n v="10.368"/>
    <x v="0"/>
    <x v="1"/>
    <n v="3.6288"/>
    <x v="2"/>
    <x v="3"/>
    <x v="3"/>
  </r>
  <r>
    <n v="2891"/>
    <s v="CA-2014-142727"/>
    <x v="107"/>
    <d v="2014-05-01T00:00:00"/>
    <x v="0"/>
    <s v="HG-14845"/>
    <s v="Harry Greene"/>
    <x v="2"/>
    <x v="0"/>
    <s v="Lake Charles"/>
    <x v="0"/>
    <n v="70601"/>
    <x v="0"/>
    <s v="FUR-CH-10002304"/>
    <x v="2"/>
    <x v="13"/>
    <x v="135"/>
    <n v="51.96"/>
    <x v="0"/>
    <x v="0"/>
    <n v="12.99"/>
    <x v="0"/>
    <x v="3"/>
    <x v="3"/>
  </r>
  <r>
    <n v="67"/>
    <s v="US-2015-164175"/>
    <x v="135"/>
    <d v="2015-05-05T00:00:00"/>
    <x v="1"/>
    <s v="PS-18970"/>
    <s v="Paul Stevenson"/>
    <x v="1"/>
    <x v="0"/>
    <s v="Chicago"/>
    <x v="5"/>
    <n v="60610"/>
    <x v="3"/>
    <s v="FUR-CH-10001146"/>
    <x v="2"/>
    <x v="13"/>
    <x v="147"/>
    <n v="213.11500000000001"/>
    <x v="3"/>
    <x v="8"/>
    <n v="-15.2225"/>
    <x v="1"/>
    <x v="3"/>
    <x v="3"/>
  </r>
  <r>
    <n v="1359"/>
    <s v="CA-2017-160045"/>
    <x v="136"/>
    <d v="2017-04-27T00:00:00"/>
    <x v="2"/>
    <s v="LB-16735"/>
    <s v="Larry Blacks"/>
    <x v="2"/>
    <x v="0"/>
    <s v="Fort Worth"/>
    <x v="11"/>
    <n v="76106"/>
    <x v="3"/>
    <s v="FUR-FU-10000010"/>
    <x v="2"/>
    <x v="5"/>
    <x v="27"/>
    <n v="1.988"/>
    <x v="1"/>
    <x v="4"/>
    <n v="-1.4413"/>
    <x v="7"/>
    <x v="3"/>
    <x v="3"/>
  </r>
  <r>
    <n v="1521"/>
    <s v="CA-2017-109946"/>
    <x v="137"/>
    <d v="2017-04-21T00:00:00"/>
    <x v="1"/>
    <s v="PL-18925"/>
    <s v="Paul Lucas"/>
    <x v="1"/>
    <x v="0"/>
    <s v="Chicago"/>
    <x v="5"/>
    <n v="60610"/>
    <x v="3"/>
    <s v="OFF-AR-10001419"/>
    <x v="0"/>
    <x v="3"/>
    <x v="148"/>
    <n v="16.52"/>
    <x v="3"/>
    <x v="1"/>
    <n v="2.0649999999999999"/>
    <x v="1"/>
    <x v="3"/>
    <x v="3"/>
  </r>
  <r>
    <n v="1728"/>
    <s v="US-2017-164056"/>
    <x v="138"/>
    <d v="2017-05-04T00:00:00"/>
    <x v="0"/>
    <s v="FM-14215"/>
    <s v="Filia McAdams"/>
    <x v="0"/>
    <x v="0"/>
    <s v="Dublin"/>
    <x v="3"/>
    <n v="43017"/>
    <x v="2"/>
    <s v="FUR-TA-10001307"/>
    <x v="2"/>
    <x v="6"/>
    <x v="149"/>
    <n v="1048.3499999999999"/>
    <x v="3"/>
    <x v="5"/>
    <n v="-69.89"/>
    <x v="1"/>
    <x v="3"/>
    <x v="3"/>
  </r>
  <r>
    <n v="4648"/>
    <s v="CA-2016-139556"/>
    <x v="139"/>
    <d v="2016-05-01T00:00:00"/>
    <x v="1"/>
    <s v="DB-13360"/>
    <s v="Dennis Bolton"/>
    <x v="1"/>
    <x v="0"/>
    <s v="New York City"/>
    <x v="20"/>
    <n v="10009"/>
    <x v="2"/>
    <s v="FUR-CH-10004983"/>
    <x v="2"/>
    <x v="13"/>
    <x v="150"/>
    <n v="434.64600000000002"/>
    <x v="2"/>
    <x v="9"/>
    <n v="62.782200000000003"/>
    <x v="1"/>
    <x v="3"/>
    <x v="3"/>
  </r>
  <r>
    <n v="1560"/>
    <s v="CA-2016-126809"/>
    <x v="130"/>
    <d v="2016-04-13T00:00:00"/>
    <x v="1"/>
    <s v="EB-13750"/>
    <s v="Edward Becker"/>
    <x v="0"/>
    <x v="0"/>
    <s v="Seattle"/>
    <x v="2"/>
    <n v="98103"/>
    <x v="1"/>
    <s v="OFF-BI-10003712"/>
    <x v="0"/>
    <x v="10"/>
    <x v="151"/>
    <n v="35.351999999999997"/>
    <x v="8"/>
    <x v="1"/>
    <n v="12.815099999999999"/>
    <x v="2"/>
    <x v="3"/>
    <x v="3"/>
  </r>
  <r>
    <n v="1577"/>
    <s v="CA-2016-109057"/>
    <x v="99"/>
    <d v="2016-04-27T00:00:00"/>
    <x v="1"/>
    <s v="TT-21460"/>
    <s v="Tonja Turnell"/>
    <x v="1"/>
    <x v="0"/>
    <s v="Aurora"/>
    <x v="5"/>
    <n v="60505"/>
    <x v="3"/>
    <s v="OFF-ST-10002406"/>
    <x v="0"/>
    <x v="2"/>
    <x v="152"/>
    <n v="23.952000000000002"/>
    <x v="0"/>
    <x v="1"/>
    <n v="2.3952"/>
    <x v="1"/>
    <x v="3"/>
    <x v="3"/>
  </r>
  <r>
    <n v="5789"/>
    <s v="CA-2017-115070"/>
    <x v="114"/>
    <d v="2017-04-14T00:00:00"/>
    <x v="0"/>
    <s v="MG-18205"/>
    <s v="Mitch Gastineau"/>
    <x v="0"/>
    <x v="0"/>
    <s v="Jacksonville"/>
    <x v="22"/>
    <n v="32216"/>
    <x v="0"/>
    <s v="FUR-FU-10003829"/>
    <x v="2"/>
    <x v="5"/>
    <x v="153"/>
    <n v="12.32"/>
    <x v="3"/>
    <x v="1"/>
    <n v="1.8480000000000001"/>
    <x v="2"/>
    <x v="3"/>
    <x v="3"/>
  </r>
  <r>
    <n v="552"/>
    <s v="CA-2016-136406"/>
    <x v="96"/>
    <d v="2016-04-17T00:00:00"/>
    <x v="0"/>
    <s v="BD-11320"/>
    <s v="Bill Donatelli"/>
    <x v="2"/>
    <x v="0"/>
    <s v="San Francisco"/>
    <x v="7"/>
    <n v="94110"/>
    <x v="1"/>
    <s v="FUR-CH-10002024"/>
    <x v="2"/>
    <x v="13"/>
    <x v="154"/>
    <n v="1121.568"/>
    <x v="0"/>
    <x v="1"/>
    <n v="0"/>
    <x v="0"/>
    <x v="3"/>
    <x v="3"/>
  </r>
  <r>
    <n v="6051"/>
    <s v="CA-2015-153878"/>
    <x v="98"/>
    <d v="2015-04-30T00:00:00"/>
    <x v="1"/>
    <s v="TS-21655"/>
    <s v="Trudy Schmidt"/>
    <x v="2"/>
    <x v="0"/>
    <s v="Milwaukee"/>
    <x v="16"/>
    <n v="53209"/>
    <x v="3"/>
    <s v="OFF-AR-10000658"/>
    <x v="0"/>
    <x v="3"/>
    <x v="155"/>
    <n v="57.75"/>
    <x v="3"/>
    <x v="0"/>
    <n v="16.170000000000002"/>
    <x v="1"/>
    <x v="3"/>
    <x v="3"/>
  </r>
  <r>
    <n v="3989"/>
    <s v="US-2016-159415"/>
    <x v="140"/>
    <d v="2016-04-22T00:00:00"/>
    <x v="1"/>
    <s v="CS-12175"/>
    <s v="Charles Sheldon"/>
    <x v="0"/>
    <x v="0"/>
    <s v="Columbia"/>
    <x v="17"/>
    <n v="38401"/>
    <x v="0"/>
    <s v="FUR-FU-10003798"/>
    <x v="2"/>
    <x v="5"/>
    <x v="156"/>
    <n v="79.12"/>
    <x v="3"/>
    <x v="1"/>
    <n v="13.846"/>
    <x v="1"/>
    <x v="3"/>
    <x v="3"/>
  </r>
  <r>
    <n v="3904"/>
    <s v="CA-2015-167010"/>
    <x v="128"/>
    <d v="2015-04-10T00:00:00"/>
    <x v="1"/>
    <s v="VT-21700"/>
    <s v="Valerie Takahito"/>
    <x v="1"/>
    <x v="0"/>
    <s v="Philadelphia"/>
    <x v="31"/>
    <n v="19143"/>
    <x v="2"/>
    <s v="OFF-AP-10004036"/>
    <x v="0"/>
    <x v="14"/>
    <x v="157"/>
    <n v="98.111999999999995"/>
    <x v="4"/>
    <x v="1"/>
    <n v="18.396000000000001"/>
    <x v="1"/>
    <x v="3"/>
    <x v="3"/>
  </r>
  <r>
    <n v="50"/>
    <s v="CA-2015-115742"/>
    <x v="141"/>
    <d v="2015-04-22T00:00:00"/>
    <x v="1"/>
    <s v="DP-13000"/>
    <s v="Darren Powers"/>
    <x v="2"/>
    <x v="0"/>
    <s v="New Albany"/>
    <x v="29"/>
    <n v="47150"/>
    <x v="3"/>
    <s v="OFF-BI-10004410"/>
    <x v="0"/>
    <x v="10"/>
    <x v="83"/>
    <n v="38.22"/>
    <x v="7"/>
    <x v="0"/>
    <n v="17.9634"/>
    <x v="2"/>
    <x v="3"/>
    <x v="3"/>
  </r>
  <r>
    <n v="13"/>
    <s v="CA-2017-114412"/>
    <x v="142"/>
    <d v="2017-04-20T00:00:00"/>
    <x v="1"/>
    <s v="AA-10480"/>
    <s v="Andrew Allen"/>
    <x v="2"/>
    <x v="0"/>
    <s v="Concord"/>
    <x v="8"/>
    <n v="28027"/>
    <x v="0"/>
    <s v="OFF-PA-10002365"/>
    <x v="0"/>
    <x v="9"/>
    <x v="158"/>
    <n v="15.552"/>
    <x v="2"/>
    <x v="1"/>
    <n v="5.4432"/>
    <x v="1"/>
    <x v="3"/>
    <x v="3"/>
  </r>
  <r>
    <n v="309"/>
    <s v="CA-2017-126774"/>
    <x v="142"/>
    <d v="2017-04-17T00:00:00"/>
    <x v="2"/>
    <s v="SH-20395"/>
    <s v="Shahid Hopkins"/>
    <x v="2"/>
    <x v="0"/>
    <s v="Arlington"/>
    <x v="1"/>
    <n v="22204"/>
    <x v="0"/>
    <s v="OFF-AR-10002804"/>
    <x v="0"/>
    <x v="3"/>
    <x v="159"/>
    <n v="4.8899999999999997"/>
    <x v="1"/>
    <x v="0"/>
    <n v="2.0049000000000001"/>
    <x v="0"/>
    <x v="3"/>
    <x v="3"/>
  </r>
  <r>
    <n v="1337"/>
    <s v="US-2017-123281"/>
    <x v="131"/>
    <d v="2017-04-07T00:00:00"/>
    <x v="1"/>
    <s v="JF-15190"/>
    <s v="Jamie Frazer"/>
    <x v="2"/>
    <x v="0"/>
    <s v="Los Angeles"/>
    <x v="7"/>
    <n v="90008"/>
    <x v="1"/>
    <s v="FUR-FU-10003724"/>
    <x v="2"/>
    <x v="5"/>
    <x v="160"/>
    <n v="25.11"/>
    <x v="2"/>
    <x v="0"/>
    <n v="6.5286"/>
    <x v="1"/>
    <x v="3"/>
    <x v="3"/>
  </r>
  <r>
    <n v="608"/>
    <s v="US-2014-105767"/>
    <x v="143"/>
    <d v="2014-05-27T00:00:00"/>
    <x v="1"/>
    <s v="AR-10510"/>
    <s v="Andrew Roberts"/>
    <x v="2"/>
    <x v="0"/>
    <s v="Philadelphia"/>
    <x v="31"/>
    <n v="19134"/>
    <x v="2"/>
    <s v="OFF-BI-10000848"/>
    <x v="0"/>
    <x v="10"/>
    <x v="161"/>
    <n v="3.282"/>
    <x v="0"/>
    <x v="7"/>
    <n v="-2.6255999999999999"/>
    <x v="2"/>
    <x v="4"/>
    <x v="4"/>
  </r>
  <r>
    <n v="4187"/>
    <s v="CA-2017-112536"/>
    <x v="144"/>
    <d v="2017-05-23T00:00:00"/>
    <x v="1"/>
    <s v="SG-20890"/>
    <s v="Susan Gilcrest"/>
    <x v="0"/>
    <x v="0"/>
    <s v="Mcallen"/>
    <x v="11"/>
    <n v="78501"/>
    <x v="3"/>
    <s v="OFF-BI-10003712"/>
    <x v="0"/>
    <x v="10"/>
    <x v="151"/>
    <n v="6.8739999999999997"/>
    <x v="4"/>
    <x v="6"/>
    <n v="-10.6547"/>
    <x v="1"/>
    <x v="4"/>
    <x v="4"/>
  </r>
  <r>
    <n v="3237"/>
    <s v="CA-2016-146836"/>
    <x v="145"/>
    <d v="2016-05-02T00:00:00"/>
    <x v="3"/>
    <s v="CC-12475"/>
    <s v="Cindy Chapman"/>
    <x v="2"/>
    <x v="0"/>
    <s v="New York City"/>
    <x v="20"/>
    <n v="10024"/>
    <x v="2"/>
    <s v="OFF-ST-10001580"/>
    <x v="0"/>
    <x v="2"/>
    <x v="162"/>
    <n v="44.94"/>
    <x v="2"/>
    <x v="0"/>
    <n v="12.5832"/>
    <x v="6"/>
    <x v="4"/>
    <x v="4"/>
  </r>
  <r>
    <n v="3268"/>
    <s v="CA-2014-143840"/>
    <x v="146"/>
    <d v="2014-05-29T00:00:00"/>
    <x v="1"/>
    <s v="EH-14185"/>
    <s v="Evan Henry"/>
    <x v="2"/>
    <x v="0"/>
    <s v="Decatur"/>
    <x v="6"/>
    <n v="35601"/>
    <x v="0"/>
    <s v="TEC-PH-10002660"/>
    <x v="1"/>
    <x v="7"/>
    <x v="163"/>
    <n v="135.97999999999999"/>
    <x v="0"/>
    <x v="0"/>
    <n v="33.994999999999997"/>
    <x v="5"/>
    <x v="4"/>
    <x v="4"/>
  </r>
  <r>
    <n v="4161"/>
    <s v="CA-2017-115546"/>
    <x v="147"/>
    <d v="2017-05-18T00:00:00"/>
    <x v="1"/>
    <s v="AH-10465"/>
    <s v="Amy Hunt"/>
    <x v="2"/>
    <x v="0"/>
    <s v="New York City"/>
    <x v="20"/>
    <n v="10035"/>
    <x v="2"/>
    <s v="TEC-PH-10002834"/>
    <x v="1"/>
    <x v="7"/>
    <x v="164"/>
    <n v="539.97"/>
    <x v="2"/>
    <x v="0"/>
    <n v="134.99250000000001"/>
    <x v="2"/>
    <x v="4"/>
    <x v="4"/>
  </r>
  <r>
    <n v="628"/>
    <s v="CA-2017-153787"/>
    <x v="148"/>
    <d v="2017-05-23T00:00:00"/>
    <x v="1"/>
    <s v="AT-10735"/>
    <s v="Annie Thurman"/>
    <x v="2"/>
    <x v="0"/>
    <s v="Seattle"/>
    <x v="2"/>
    <n v="98115"/>
    <x v="1"/>
    <s v="OFF-AP-10001563"/>
    <x v="0"/>
    <x v="14"/>
    <x v="165"/>
    <n v="97.16"/>
    <x v="0"/>
    <x v="0"/>
    <n v="28.176400000000001"/>
    <x v="2"/>
    <x v="4"/>
    <x v="4"/>
  </r>
  <r>
    <n v="713"/>
    <s v="US-2017-100048"/>
    <x v="148"/>
    <d v="2017-05-24T00:00:00"/>
    <x v="1"/>
    <s v="RS-19765"/>
    <s v="Roland Schwarz"/>
    <x v="0"/>
    <x v="0"/>
    <s v="Mount Vernon"/>
    <x v="20"/>
    <n v="10550"/>
    <x v="2"/>
    <s v="OFF-AP-10001154"/>
    <x v="0"/>
    <x v="14"/>
    <x v="166"/>
    <n v="281.33999999999997"/>
    <x v="7"/>
    <x v="0"/>
    <n v="109.7226"/>
    <x v="1"/>
    <x v="4"/>
    <x v="4"/>
  </r>
  <r>
    <n v="3632"/>
    <s v="CA-2017-132178"/>
    <x v="149"/>
    <d v="2017-05-08T00:00:00"/>
    <x v="0"/>
    <s v="DB-12970"/>
    <s v="Darren Budd"/>
    <x v="0"/>
    <x v="0"/>
    <s v="Los Angeles"/>
    <x v="7"/>
    <n v="90004"/>
    <x v="1"/>
    <s v="OFF-ST-10000464"/>
    <x v="0"/>
    <x v="2"/>
    <x v="167"/>
    <n v="69.52"/>
    <x v="0"/>
    <x v="0"/>
    <n v="19.465599999999998"/>
    <x v="1"/>
    <x v="4"/>
    <x v="4"/>
  </r>
  <r>
    <n v="4510"/>
    <s v="CA-2017-167003"/>
    <x v="150"/>
    <d v="2017-05-29T00:00:00"/>
    <x v="1"/>
    <s v="VS-21820"/>
    <s v="Vivek Sundaresam"/>
    <x v="2"/>
    <x v="0"/>
    <s v="Los Angeles"/>
    <x v="7"/>
    <n v="90036"/>
    <x v="1"/>
    <s v="FUR-TA-10001520"/>
    <x v="2"/>
    <x v="6"/>
    <x v="168"/>
    <n v="171.28800000000001"/>
    <x v="2"/>
    <x v="1"/>
    <n v="-6.4233000000000002"/>
    <x v="4"/>
    <x v="4"/>
    <x v="4"/>
  </r>
  <r>
    <n v="695"/>
    <s v="CA-2015-119291"/>
    <x v="151"/>
    <d v="2015-05-17T00:00:00"/>
    <x v="2"/>
    <s v="JO-15550"/>
    <s v="Jesus Ocampo"/>
    <x v="1"/>
    <x v="0"/>
    <s v="Chester"/>
    <x v="31"/>
    <n v="19013"/>
    <x v="2"/>
    <s v="OFF-AR-10003373"/>
    <x v="0"/>
    <x v="3"/>
    <x v="169"/>
    <n v="198.27199999999999"/>
    <x v="5"/>
    <x v="1"/>
    <n v="17.348800000000001"/>
    <x v="3"/>
    <x v="4"/>
    <x v="4"/>
  </r>
  <r>
    <n v="2632"/>
    <s v="US-2017-110604"/>
    <x v="152"/>
    <d v="2017-05-20T00:00:00"/>
    <x v="1"/>
    <s v="JF-15295"/>
    <s v="Jason Fortune-"/>
    <x v="2"/>
    <x v="0"/>
    <s v="Seattle"/>
    <x v="2"/>
    <n v="98103"/>
    <x v="1"/>
    <s v="FUR-FU-10000076"/>
    <x v="2"/>
    <x v="5"/>
    <x v="170"/>
    <n v="39.96"/>
    <x v="0"/>
    <x v="0"/>
    <n v="17.1828"/>
    <x v="1"/>
    <x v="4"/>
    <x v="4"/>
  </r>
  <r>
    <n v="2820"/>
    <s v="CA-2016-160500"/>
    <x v="153"/>
    <d v="2016-05-08T00:00:00"/>
    <x v="2"/>
    <s v="DM-13015"/>
    <s v="Darrin Martin"/>
    <x v="2"/>
    <x v="0"/>
    <s v="Encinitas"/>
    <x v="7"/>
    <n v="92024"/>
    <x v="1"/>
    <s v="OFF-BI-10003784"/>
    <x v="0"/>
    <x v="10"/>
    <x v="171"/>
    <n v="6.72"/>
    <x v="3"/>
    <x v="1"/>
    <n v="2.3519999999999999"/>
    <x v="3"/>
    <x v="4"/>
    <x v="4"/>
  </r>
  <r>
    <n v="1278"/>
    <s v="CA-2016-148698"/>
    <x v="145"/>
    <d v="2016-05-07T00:00:00"/>
    <x v="1"/>
    <s v="BD-11770"/>
    <s v="Bryan Davis"/>
    <x v="2"/>
    <x v="0"/>
    <s v="Houston"/>
    <x v="11"/>
    <n v="77070"/>
    <x v="3"/>
    <s v="OFF-AR-10004022"/>
    <x v="0"/>
    <x v="3"/>
    <x v="172"/>
    <n v="86.352000000000004"/>
    <x v="2"/>
    <x v="1"/>
    <n v="5.3970000000000002"/>
    <x v="1"/>
    <x v="4"/>
    <x v="4"/>
  </r>
  <r>
    <n v="1296"/>
    <s v="CA-2015-138898"/>
    <x v="154"/>
    <d v="2015-05-29T00:00:00"/>
    <x v="1"/>
    <s v="JH-16180"/>
    <s v="Justin Hirsh"/>
    <x v="2"/>
    <x v="0"/>
    <s v="Pueblo"/>
    <x v="9"/>
    <n v="81001"/>
    <x v="1"/>
    <s v="OFF-AP-10004487"/>
    <x v="0"/>
    <x v="14"/>
    <x v="173"/>
    <n v="845.72799999999995"/>
    <x v="9"/>
    <x v="1"/>
    <n v="84.572800000000001"/>
    <x v="2"/>
    <x v="4"/>
    <x v="4"/>
  </r>
  <r>
    <n v="1330"/>
    <s v="CA-2016-142762"/>
    <x v="155"/>
    <d v="2016-05-27T00:00:00"/>
    <x v="1"/>
    <s v="LD-17005"/>
    <s v="Lisa DeCherney"/>
    <x v="2"/>
    <x v="0"/>
    <s v="San Francisco"/>
    <x v="7"/>
    <n v="94109"/>
    <x v="1"/>
    <s v="FUR-FU-10003691"/>
    <x v="2"/>
    <x v="5"/>
    <x v="174"/>
    <n v="37.049999999999997"/>
    <x v="2"/>
    <x v="0"/>
    <n v="16.302"/>
    <x v="2"/>
    <x v="4"/>
    <x v="4"/>
  </r>
  <r>
    <n v="1166"/>
    <s v="CA-2014-117709"/>
    <x v="156"/>
    <d v="2014-05-08T00:00:00"/>
    <x v="1"/>
    <s v="PM-18940"/>
    <s v="Paul MacIntyre"/>
    <x v="2"/>
    <x v="0"/>
    <s v="Jackson"/>
    <x v="13"/>
    <n v="49201"/>
    <x v="3"/>
    <s v="OFF-BI-10001294"/>
    <x v="0"/>
    <x v="10"/>
    <x v="175"/>
    <n v="46.8"/>
    <x v="6"/>
    <x v="0"/>
    <n v="21.06"/>
    <x v="2"/>
    <x v="4"/>
    <x v="4"/>
  </r>
  <r>
    <n v="1336"/>
    <s v="CA-2016-122133"/>
    <x v="157"/>
    <d v="2016-05-23T00:00:00"/>
    <x v="1"/>
    <s v="JR-15670"/>
    <s v="Jim Radford"/>
    <x v="2"/>
    <x v="0"/>
    <s v="Middletown"/>
    <x v="25"/>
    <n v="6457"/>
    <x v="2"/>
    <s v="OFF-ST-10002574"/>
    <x v="0"/>
    <x v="2"/>
    <x v="176"/>
    <n v="552.55999999999995"/>
    <x v="6"/>
    <x v="0"/>
    <n v="0"/>
    <x v="5"/>
    <x v="4"/>
    <x v="4"/>
  </r>
  <r>
    <n v="1358"/>
    <s v="CA-2016-145247"/>
    <x v="153"/>
    <d v="2016-05-07T00:00:00"/>
    <x v="2"/>
    <s v="ND-18370"/>
    <s v="Natalie DeCherney"/>
    <x v="2"/>
    <x v="0"/>
    <s v="Louisville"/>
    <x v="24"/>
    <n v="40214"/>
    <x v="0"/>
    <s v="OFF-PA-10003641"/>
    <x v="0"/>
    <x v="9"/>
    <x v="177"/>
    <n v="79.14"/>
    <x v="2"/>
    <x v="0"/>
    <n v="36.404400000000003"/>
    <x v="0"/>
    <x v="4"/>
    <x v="4"/>
  </r>
  <r>
    <n v="1557"/>
    <s v="CA-2016-109176"/>
    <x v="158"/>
    <d v="2016-05-15T00:00:00"/>
    <x v="1"/>
    <s v="JW-16075"/>
    <s v="Julia West"/>
    <x v="2"/>
    <x v="0"/>
    <s v="Philadelphia"/>
    <x v="31"/>
    <n v="19140"/>
    <x v="2"/>
    <s v="OFF-EN-10003134"/>
    <x v="0"/>
    <x v="0"/>
    <x v="0"/>
    <n v="9.3439999999999994"/>
    <x v="1"/>
    <x v="1"/>
    <n v="3.504"/>
    <x v="4"/>
    <x v="4"/>
    <x v="4"/>
  </r>
  <r>
    <n v="1590"/>
    <s v="CA-2016-109911"/>
    <x v="159"/>
    <d v="2016-05-16T00:00:00"/>
    <x v="1"/>
    <s v="VG-21805"/>
    <s v="Vivek Grady"/>
    <x v="0"/>
    <x v="0"/>
    <s v="Virginia Beach"/>
    <x v="1"/>
    <n v="23464"/>
    <x v="0"/>
    <s v="OFF-AR-10001662"/>
    <x v="0"/>
    <x v="3"/>
    <x v="57"/>
    <n v="10.96"/>
    <x v="6"/>
    <x v="0"/>
    <n v="2.9592000000000001"/>
    <x v="2"/>
    <x v="4"/>
    <x v="4"/>
  </r>
  <r>
    <n v="995"/>
    <s v="CA-2014-117639"/>
    <x v="160"/>
    <d v="2014-05-25T00:00:00"/>
    <x v="1"/>
    <s v="MW-18235"/>
    <s v="Mitch Willingham"/>
    <x v="0"/>
    <x v="0"/>
    <s v="Virginia Beach"/>
    <x v="1"/>
    <n v="23464"/>
    <x v="0"/>
    <s v="OFF-BI-10003925"/>
    <x v="0"/>
    <x v="10"/>
    <x v="178"/>
    <n v="2715.93"/>
    <x v="4"/>
    <x v="0"/>
    <n v="1276.4871000000001"/>
    <x v="2"/>
    <x v="4"/>
    <x v="4"/>
  </r>
  <r>
    <n v="1611"/>
    <s v="CA-2014-156349"/>
    <x v="161"/>
    <d v="2014-05-30T00:00:00"/>
    <x v="1"/>
    <s v="ML-17395"/>
    <s v="Marina Lichtenstein"/>
    <x v="0"/>
    <x v="0"/>
    <s v="Los Angeles"/>
    <x v="7"/>
    <n v="90008"/>
    <x v="1"/>
    <s v="FUR-BO-10000362"/>
    <x v="2"/>
    <x v="8"/>
    <x v="52"/>
    <n v="290.666"/>
    <x v="0"/>
    <x v="2"/>
    <n v="27.3568"/>
    <x v="2"/>
    <x v="4"/>
    <x v="4"/>
  </r>
  <r>
    <n v="979"/>
    <s v="CA-2016-145499"/>
    <x v="162"/>
    <d v="2016-05-31T00:00:00"/>
    <x v="2"/>
    <s v="RW-19690"/>
    <s v="Robert Waldorf"/>
    <x v="2"/>
    <x v="0"/>
    <s v="Wilmington"/>
    <x v="8"/>
    <n v="28403"/>
    <x v="0"/>
    <s v="OFF-BI-10000848"/>
    <x v="0"/>
    <x v="10"/>
    <x v="161"/>
    <n v="3.282"/>
    <x v="0"/>
    <x v="7"/>
    <n v="-2.6255999999999999"/>
    <x v="7"/>
    <x v="4"/>
    <x v="4"/>
  </r>
  <r>
    <n v="1639"/>
    <s v="CA-2016-157266"/>
    <x v="163"/>
    <d v="2016-06-01T00:00:00"/>
    <x v="1"/>
    <s v="TB-21280"/>
    <s v="Toby Braunhardt"/>
    <x v="2"/>
    <x v="0"/>
    <s v="Washington"/>
    <x v="32"/>
    <n v="20016"/>
    <x v="2"/>
    <s v="OFF-PA-10002689"/>
    <x v="0"/>
    <x v="9"/>
    <x v="179"/>
    <n v="19.440000000000001"/>
    <x v="2"/>
    <x v="0"/>
    <n v="9.3312000000000008"/>
    <x v="4"/>
    <x v="4"/>
    <x v="4"/>
  </r>
  <r>
    <n v="1677"/>
    <s v="CA-2016-122728"/>
    <x v="164"/>
    <d v="2016-05-24T00:00:00"/>
    <x v="1"/>
    <s v="EB-13930"/>
    <s v="Eric Barreto"/>
    <x v="2"/>
    <x v="0"/>
    <s v="San Francisco"/>
    <x v="7"/>
    <n v="94110"/>
    <x v="1"/>
    <s v="OFF-ST-10000604"/>
    <x v="0"/>
    <x v="2"/>
    <x v="180"/>
    <n v="104.28"/>
    <x v="2"/>
    <x v="0"/>
    <n v="26.07"/>
    <x v="4"/>
    <x v="4"/>
    <x v="4"/>
  </r>
  <r>
    <n v="957"/>
    <s v="CA-2017-102414"/>
    <x v="152"/>
    <d v="2017-05-18T00:00:00"/>
    <x v="0"/>
    <s v="JA-15970"/>
    <s v="Joseph Airdo"/>
    <x v="2"/>
    <x v="0"/>
    <s v="Phoenix"/>
    <x v="19"/>
    <n v="85023"/>
    <x v="1"/>
    <s v="TEC-PH-10002923"/>
    <x v="1"/>
    <x v="7"/>
    <x v="181"/>
    <n v="29.591999999999999"/>
    <x v="1"/>
    <x v="1"/>
    <n v="2.5893000000000002"/>
    <x v="3"/>
    <x v="4"/>
    <x v="4"/>
  </r>
  <r>
    <n v="1759"/>
    <s v="CA-2014-139017"/>
    <x v="165"/>
    <d v="2014-05-17T00:00:00"/>
    <x v="1"/>
    <s v="RM-19375"/>
    <s v="Raymond Messe"/>
    <x v="2"/>
    <x v="0"/>
    <s v="Houston"/>
    <x v="11"/>
    <n v="77095"/>
    <x v="3"/>
    <s v="TEC-AC-10001013"/>
    <x v="1"/>
    <x v="4"/>
    <x v="58"/>
    <n v="46.863999999999997"/>
    <x v="0"/>
    <x v="1"/>
    <n v="7.6154000000000002"/>
    <x v="4"/>
    <x v="4"/>
    <x v="4"/>
  </r>
  <r>
    <n v="913"/>
    <s v="CA-2015-133627"/>
    <x v="166"/>
    <d v="2015-06-07T00:00:00"/>
    <x v="1"/>
    <s v="SC-20050"/>
    <s v="Sample Company A"/>
    <x v="1"/>
    <x v="0"/>
    <s v="Norwich"/>
    <x v="25"/>
    <n v="6360"/>
    <x v="2"/>
    <s v="FUR-FU-10001935"/>
    <x v="2"/>
    <x v="5"/>
    <x v="182"/>
    <n v="22.2"/>
    <x v="7"/>
    <x v="0"/>
    <n v="9.1020000000000003"/>
    <x v="5"/>
    <x v="4"/>
    <x v="4"/>
  </r>
  <r>
    <n v="1819"/>
    <s v="US-2014-130379"/>
    <x v="167"/>
    <d v="2014-05-29T00:00:00"/>
    <x v="1"/>
    <s v="JL-15235"/>
    <s v="Janet Lee"/>
    <x v="2"/>
    <x v="0"/>
    <s v="Chicago"/>
    <x v="5"/>
    <n v="60623"/>
    <x v="3"/>
    <s v="OFF-AP-10001394"/>
    <x v="0"/>
    <x v="14"/>
    <x v="183"/>
    <n v="75.599999999999994"/>
    <x v="0"/>
    <x v="6"/>
    <n v="-166.32"/>
    <x v="2"/>
    <x v="4"/>
    <x v="4"/>
  </r>
  <r>
    <n v="2130"/>
    <s v="US-2014-114188"/>
    <x v="168"/>
    <d v="2014-05-22T00:00:00"/>
    <x v="0"/>
    <s v="RF-19345"/>
    <s v="Randy Ferguson"/>
    <x v="0"/>
    <x v="0"/>
    <s v="Dover"/>
    <x v="33"/>
    <n v="3820"/>
    <x v="2"/>
    <s v="OFF-AP-10000124"/>
    <x v="0"/>
    <x v="14"/>
    <x v="184"/>
    <n v="33.28"/>
    <x v="6"/>
    <x v="0"/>
    <n v="9.3184000000000005"/>
    <x v="0"/>
    <x v="4"/>
    <x v="4"/>
  </r>
  <r>
    <n v="2286"/>
    <s v="CA-2016-112676"/>
    <x v="153"/>
    <d v="2016-05-08T00:00:00"/>
    <x v="2"/>
    <s v="PJ-18835"/>
    <s v="Patrick Jones"/>
    <x v="0"/>
    <x v="0"/>
    <s v="Murfreesboro"/>
    <x v="17"/>
    <n v="37130"/>
    <x v="0"/>
    <s v="OFF-PA-10003971"/>
    <x v="0"/>
    <x v="9"/>
    <x v="185"/>
    <n v="14.352"/>
    <x v="2"/>
    <x v="1"/>
    <n v="5.2026000000000003"/>
    <x v="3"/>
    <x v="4"/>
    <x v="4"/>
  </r>
  <r>
    <n v="825"/>
    <s v="US-2014-102071"/>
    <x v="169"/>
    <d v="2014-05-15T00:00:00"/>
    <x v="1"/>
    <s v="PG-18820"/>
    <s v="Patrick Gardner"/>
    <x v="2"/>
    <x v="0"/>
    <s v="San Francisco"/>
    <x v="7"/>
    <n v="94110"/>
    <x v="1"/>
    <s v="TEC-AC-10003441"/>
    <x v="1"/>
    <x v="4"/>
    <x v="186"/>
    <n v="67.8"/>
    <x v="6"/>
    <x v="0"/>
    <n v="4.0679999999999996"/>
    <x v="4"/>
    <x v="4"/>
    <x v="4"/>
  </r>
  <r>
    <n v="814"/>
    <s v="CA-2017-143686"/>
    <x v="147"/>
    <d v="2017-05-14T00:00:00"/>
    <x v="3"/>
    <s v="PJ-19015"/>
    <s v="Pauline Johnson"/>
    <x v="2"/>
    <x v="0"/>
    <s v="Santa Ana"/>
    <x v="7"/>
    <n v="92704"/>
    <x v="1"/>
    <s v="FUR-FU-10000794"/>
    <x v="2"/>
    <x v="5"/>
    <x v="112"/>
    <n v="18.28"/>
    <x v="0"/>
    <x v="0"/>
    <n v="6.2152000000000003"/>
    <x v="6"/>
    <x v="4"/>
    <x v="4"/>
  </r>
  <r>
    <n v="1245"/>
    <s v="CA-2017-133641"/>
    <x v="147"/>
    <d v="2017-05-21T00:00:00"/>
    <x v="1"/>
    <s v="EJ-14155"/>
    <s v="Eva Jacobs"/>
    <x v="2"/>
    <x v="0"/>
    <s v="Gulfport"/>
    <x v="34"/>
    <n v="39503"/>
    <x v="0"/>
    <s v="OFF-EN-10004955"/>
    <x v="0"/>
    <x v="0"/>
    <x v="187"/>
    <n v="48.69"/>
    <x v="8"/>
    <x v="0"/>
    <n v="23.8581"/>
    <x v="5"/>
    <x v="4"/>
    <x v="4"/>
  </r>
  <r>
    <n v="793"/>
    <s v="CA-2016-105256"/>
    <x v="170"/>
    <d v="2016-05-20T00:00:00"/>
    <x v="3"/>
    <s v="JK-15730"/>
    <s v="Joe Kamberova"/>
    <x v="2"/>
    <x v="0"/>
    <s v="Asheville"/>
    <x v="8"/>
    <n v="28806"/>
    <x v="0"/>
    <s v="TEC-PH-10001530"/>
    <x v="1"/>
    <x v="7"/>
    <x v="188"/>
    <n v="1363.96"/>
    <x v="3"/>
    <x v="1"/>
    <n v="85.247500000000002"/>
    <x v="6"/>
    <x v="4"/>
    <x v="4"/>
  </r>
  <r>
    <n v="2761"/>
    <s v="CA-2014-129574"/>
    <x v="161"/>
    <d v="2014-05-29T00:00:00"/>
    <x v="2"/>
    <s v="Dp-13240"/>
    <s v="Dean percer"/>
    <x v="1"/>
    <x v="0"/>
    <s v="Murray"/>
    <x v="28"/>
    <n v="84107"/>
    <x v="1"/>
    <s v="OFF-PA-10002893"/>
    <x v="0"/>
    <x v="9"/>
    <x v="189"/>
    <n v="48.4"/>
    <x v="3"/>
    <x v="0"/>
    <n v="23.231999999999999"/>
    <x v="3"/>
    <x v="4"/>
    <x v="4"/>
  </r>
  <r>
    <n v="769"/>
    <s v="CA-2014-106810"/>
    <x v="171"/>
    <d v="2014-05-20T00:00:00"/>
    <x v="1"/>
    <s v="AJ-10795"/>
    <s v="Anthony Johnson"/>
    <x v="0"/>
    <x v="0"/>
    <s v="Saint Petersburg"/>
    <x v="22"/>
    <n v="33710"/>
    <x v="0"/>
    <s v="FUR-FU-10004306"/>
    <x v="2"/>
    <x v="5"/>
    <x v="190"/>
    <n v="310.88"/>
    <x v="0"/>
    <x v="1"/>
    <n v="23.315999999999999"/>
    <x v="4"/>
    <x v="4"/>
    <x v="4"/>
  </r>
  <r>
    <n v="2986"/>
    <s v="CA-2016-139269"/>
    <x v="172"/>
    <d v="2016-05-30T00:00:00"/>
    <x v="1"/>
    <s v="JB-16045"/>
    <s v="Julia Barnett"/>
    <x v="1"/>
    <x v="0"/>
    <s v="Columbus"/>
    <x v="4"/>
    <n v="31907"/>
    <x v="0"/>
    <s v="FUR-FU-10000755"/>
    <x v="2"/>
    <x v="5"/>
    <x v="191"/>
    <n v="24.96"/>
    <x v="6"/>
    <x v="0"/>
    <n v="6.24"/>
    <x v="1"/>
    <x v="4"/>
    <x v="4"/>
  </r>
  <r>
    <n v="1234"/>
    <s v="CA-2016-153682"/>
    <x v="162"/>
    <d v="2016-06-01T00:00:00"/>
    <x v="2"/>
    <s v="BG-11695"/>
    <s v="Brooke Gillingham"/>
    <x v="0"/>
    <x v="0"/>
    <s v="Cincinnati"/>
    <x v="3"/>
    <n v="45231"/>
    <x v="2"/>
    <s v="TEC-CO-10001046"/>
    <x v="1"/>
    <x v="15"/>
    <x v="192"/>
    <n v="839.98800000000006"/>
    <x v="0"/>
    <x v="5"/>
    <n v="69.998999999999995"/>
    <x v="0"/>
    <x v="4"/>
    <x v="4"/>
  </r>
  <r>
    <n v="9559"/>
    <s v="CA-2016-129280"/>
    <x v="173"/>
    <d v="2016-05-05T00:00:00"/>
    <x v="2"/>
    <s v="SM-20905"/>
    <s v="Susan MacKendrick"/>
    <x v="2"/>
    <x v="0"/>
    <s v="Newark"/>
    <x v="3"/>
    <n v="43055"/>
    <x v="2"/>
    <s v="TEC-AC-10003832"/>
    <x v="1"/>
    <x v="4"/>
    <x v="193"/>
    <n v="132.52000000000001"/>
    <x v="3"/>
    <x v="1"/>
    <n v="34.786499999999997"/>
    <x v="0"/>
    <x v="4"/>
    <x v="4"/>
  </r>
  <r>
    <n v="18"/>
    <s v="CA-2014-167164"/>
    <x v="174"/>
    <d v="2014-05-15T00:00:00"/>
    <x v="0"/>
    <s v="AG-10270"/>
    <s v="Alejandro Grove"/>
    <x v="2"/>
    <x v="0"/>
    <s v="West Jordan"/>
    <x v="28"/>
    <n v="84084"/>
    <x v="1"/>
    <s v="OFF-ST-10000107"/>
    <x v="0"/>
    <x v="2"/>
    <x v="194"/>
    <n v="55.5"/>
    <x v="0"/>
    <x v="0"/>
    <n v="9.99"/>
    <x v="0"/>
    <x v="4"/>
    <x v="4"/>
  </r>
  <r>
    <n v="501"/>
    <s v="US-2016-105578"/>
    <x v="162"/>
    <d v="2016-06-04T00:00:00"/>
    <x v="1"/>
    <s v="MY-17380"/>
    <s v="Maribeth Yedwab"/>
    <x v="0"/>
    <x v="0"/>
    <s v="Parker"/>
    <x v="9"/>
    <n v="80134"/>
    <x v="1"/>
    <s v="OFF-BI-10001670"/>
    <x v="0"/>
    <x v="10"/>
    <x v="195"/>
    <n v="22.62"/>
    <x v="0"/>
    <x v="7"/>
    <n v="-15.08"/>
    <x v="1"/>
    <x v="4"/>
    <x v="4"/>
  </r>
  <r>
    <n v="154"/>
    <s v="CA-2015-124919"/>
    <x v="166"/>
    <d v="2015-06-02T00:00:00"/>
    <x v="2"/>
    <s v="SP-20650"/>
    <s v="Stephanie Phelps"/>
    <x v="0"/>
    <x v="0"/>
    <s v="San Jose"/>
    <x v="7"/>
    <n v="95123"/>
    <x v="1"/>
    <s v="OFF-PA-10001950"/>
    <x v="0"/>
    <x v="9"/>
    <x v="196"/>
    <n v="58.38"/>
    <x v="4"/>
    <x v="0"/>
    <n v="26.271000000000001"/>
    <x v="0"/>
    <x v="4"/>
    <x v="4"/>
  </r>
  <r>
    <n v="534"/>
    <s v="CA-2016-168753"/>
    <x v="175"/>
    <d v="2016-06-01T00:00:00"/>
    <x v="0"/>
    <s v="RL-19615"/>
    <s v="Rob Lucas"/>
    <x v="2"/>
    <x v="0"/>
    <s v="Montgomery"/>
    <x v="6"/>
    <n v="36116"/>
    <x v="0"/>
    <s v="TEC-PH-10000984"/>
    <x v="1"/>
    <x v="7"/>
    <x v="100"/>
    <n v="979.95"/>
    <x v="3"/>
    <x v="0"/>
    <n v="274.38600000000002"/>
    <x v="3"/>
    <x v="4"/>
    <x v="4"/>
  </r>
  <r>
    <n v="494"/>
    <s v="CA-2016-169166"/>
    <x v="158"/>
    <d v="2016-05-14T00:00:00"/>
    <x v="1"/>
    <s v="SS-20590"/>
    <s v="Sonia Sunley"/>
    <x v="2"/>
    <x v="0"/>
    <s v="Seattle"/>
    <x v="2"/>
    <n v="98115"/>
    <x v="1"/>
    <s v="TEC-AC-10000991"/>
    <x v="1"/>
    <x v="4"/>
    <x v="197"/>
    <n v="93.98"/>
    <x v="0"/>
    <x v="0"/>
    <n v="13.1572"/>
    <x v="1"/>
    <x v="4"/>
    <x v="4"/>
  </r>
  <r>
    <n v="305"/>
    <s v="CA-2015-144253"/>
    <x v="176"/>
    <d v="2015-05-09T00:00:00"/>
    <x v="0"/>
    <s v="AS-10225"/>
    <s v="Alan Schoenberger"/>
    <x v="0"/>
    <x v="0"/>
    <s v="New York City"/>
    <x v="20"/>
    <n v="10024"/>
    <x v="2"/>
    <s v="FUR-FU-10002671"/>
    <x v="2"/>
    <x v="5"/>
    <x v="198"/>
    <n v="26.8"/>
    <x v="0"/>
    <x v="0"/>
    <n v="12.864000000000001"/>
    <x v="1"/>
    <x v="4"/>
    <x v="4"/>
  </r>
  <r>
    <n v="371"/>
    <s v="CA-2017-104745"/>
    <x v="177"/>
    <d v="2017-06-04T00:00:00"/>
    <x v="1"/>
    <s v="GT-14755"/>
    <s v="Guy Thornton"/>
    <x v="2"/>
    <x v="0"/>
    <s v="Harlingen"/>
    <x v="11"/>
    <n v="78550"/>
    <x v="3"/>
    <s v="OFF-PA-10002036"/>
    <x v="0"/>
    <x v="9"/>
    <x v="199"/>
    <n v="25.92"/>
    <x v="3"/>
    <x v="1"/>
    <n v="9.3960000000000008"/>
    <x v="4"/>
    <x v="4"/>
    <x v="4"/>
  </r>
  <r>
    <n v="157"/>
    <s v="CA-2015-118948"/>
    <x v="178"/>
    <d v="2015-06-03T00:00:00"/>
    <x v="1"/>
    <s v="NK-18490"/>
    <s v="Neil Knudson"/>
    <x v="1"/>
    <x v="0"/>
    <s v="Seattle"/>
    <x v="2"/>
    <n v="98105"/>
    <x v="1"/>
    <s v="OFF-AR-10001547"/>
    <x v="0"/>
    <x v="3"/>
    <x v="7"/>
    <n v="6.63"/>
    <x v="2"/>
    <x v="0"/>
    <n v="1.7901"/>
    <x v="4"/>
    <x v="4"/>
    <x v="4"/>
  </r>
  <r>
    <n v="161"/>
    <s v="CA-2016-162733"/>
    <x v="179"/>
    <d v="2016-05-12T00:00:00"/>
    <x v="2"/>
    <s v="TT-21070"/>
    <s v="Ted Trevino"/>
    <x v="2"/>
    <x v="0"/>
    <s v="Los Angeles"/>
    <x v="7"/>
    <n v="90045"/>
    <x v="1"/>
    <s v="OFF-PA-10002751"/>
    <x v="0"/>
    <x v="9"/>
    <x v="200"/>
    <n v="5.98"/>
    <x v="1"/>
    <x v="0"/>
    <n v="2.6909999999999998"/>
    <x v="7"/>
    <x v="4"/>
    <x v="4"/>
  </r>
  <r>
    <n v="480"/>
    <s v="CA-2016-100790"/>
    <x v="180"/>
    <d v="2016-07-02T00:00:00"/>
    <x v="1"/>
    <s v="JG-15805"/>
    <s v="John Grady"/>
    <x v="0"/>
    <x v="0"/>
    <s v="New York City"/>
    <x v="20"/>
    <n v="10024"/>
    <x v="2"/>
    <s v="OFF-AR-10003045"/>
    <x v="0"/>
    <x v="3"/>
    <x v="201"/>
    <n v="14.7"/>
    <x v="3"/>
    <x v="0"/>
    <n v="6.6150000000000002"/>
    <x v="4"/>
    <x v="5"/>
    <x v="5"/>
  </r>
  <r>
    <n v="719"/>
    <s v="CA-2014-104472"/>
    <x v="181"/>
    <d v="2014-06-07T00:00:00"/>
    <x v="1"/>
    <s v="CK-12325"/>
    <s v="Christine Kargatis"/>
    <x v="1"/>
    <x v="0"/>
    <s v="Orem"/>
    <x v="28"/>
    <n v="84057"/>
    <x v="1"/>
    <s v="OFF-BI-10001658"/>
    <x v="0"/>
    <x v="10"/>
    <x v="202"/>
    <n v="59.808"/>
    <x v="2"/>
    <x v="1"/>
    <n v="19.4376"/>
    <x v="1"/>
    <x v="5"/>
    <x v="5"/>
  </r>
  <r>
    <n v="485"/>
    <s v="CA-2017-140963"/>
    <x v="182"/>
    <d v="2017-06-13T00:00:00"/>
    <x v="2"/>
    <s v="MT-18070"/>
    <s v="Michelle Tran"/>
    <x v="1"/>
    <x v="0"/>
    <s v="Los Angeles"/>
    <x v="7"/>
    <n v="90045"/>
    <x v="1"/>
    <s v="OFF-LA-10003923"/>
    <x v="0"/>
    <x v="1"/>
    <x v="203"/>
    <n v="29.6"/>
    <x v="0"/>
    <x v="0"/>
    <n v="14.8"/>
    <x v="3"/>
    <x v="5"/>
    <x v="5"/>
  </r>
  <r>
    <n v="70"/>
    <s v="CA-2016-119823"/>
    <x v="183"/>
    <d v="2016-06-06T00:00:00"/>
    <x v="2"/>
    <s v="KD-16270"/>
    <s v="Karen Daniels"/>
    <x v="2"/>
    <x v="0"/>
    <s v="Springfield"/>
    <x v="1"/>
    <n v="22153"/>
    <x v="0"/>
    <s v="OFF-PA-10000482"/>
    <x v="0"/>
    <x v="9"/>
    <x v="204"/>
    <n v="75.88"/>
    <x v="0"/>
    <x v="0"/>
    <n v="35.663600000000002"/>
    <x v="0"/>
    <x v="5"/>
    <x v="5"/>
  </r>
  <r>
    <n v="3506"/>
    <s v="CA-2014-166863"/>
    <x v="184"/>
    <d v="2014-06-24T00:00:00"/>
    <x v="1"/>
    <s v="SC-20020"/>
    <s v="Sam Craven"/>
    <x v="2"/>
    <x v="0"/>
    <s v="Plano"/>
    <x v="11"/>
    <n v="75023"/>
    <x v="3"/>
    <s v="TEC-PH-10000369"/>
    <x v="1"/>
    <x v="7"/>
    <x v="205"/>
    <n v="201.584"/>
    <x v="0"/>
    <x v="1"/>
    <n v="20.1584"/>
    <x v="2"/>
    <x v="5"/>
    <x v="5"/>
  </r>
  <r>
    <n v="489"/>
    <s v="CA-2014-133753"/>
    <x v="185"/>
    <d v="2014-06-13T00:00:00"/>
    <x v="0"/>
    <s v="CW-11905"/>
    <s v="Carl Weiss"/>
    <x v="1"/>
    <x v="0"/>
    <s v="Huntsville"/>
    <x v="11"/>
    <n v="77340"/>
    <x v="3"/>
    <s v="TEC-PH-10000376"/>
    <x v="1"/>
    <x v="7"/>
    <x v="206"/>
    <n v="7.992"/>
    <x v="1"/>
    <x v="1"/>
    <n v="0.59940000000000004"/>
    <x v="2"/>
    <x v="5"/>
    <x v="5"/>
  </r>
  <r>
    <n v="56"/>
    <s v="CA-2016-111682"/>
    <x v="186"/>
    <d v="2016-06-18T00:00:00"/>
    <x v="2"/>
    <s v="TB-21055"/>
    <s v="Ted Butterfield"/>
    <x v="2"/>
    <x v="0"/>
    <s v="Troy"/>
    <x v="20"/>
    <n v="12180"/>
    <x v="2"/>
    <s v="OFF-ST-10000604"/>
    <x v="0"/>
    <x v="2"/>
    <x v="180"/>
    <n v="208.56"/>
    <x v="7"/>
    <x v="0"/>
    <n v="52.14"/>
    <x v="7"/>
    <x v="5"/>
    <x v="5"/>
  </r>
  <r>
    <n v="48"/>
    <s v="CA-2016-169194"/>
    <x v="187"/>
    <d v="2016-06-25T00:00:00"/>
    <x v="1"/>
    <s v="LH-16900"/>
    <s v="Lena Hernandez"/>
    <x v="2"/>
    <x v="0"/>
    <s v="Dover"/>
    <x v="14"/>
    <n v="19901"/>
    <x v="2"/>
    <s v="TEC-AC-10002167"/>
    <x v="1"/>
    <x v="4"/>
    <x v="207"/>
    <n v="45"/>
    <x v="2"/>
    <x v="0"/>
    <n v="4.95"/>
    <x v="1"/>
    <x v="5"/>
    <x v="5"/>
  </r>
  <r>
    <n v="3842"/>
    <s v="US-2014-109162"/>
    <x v="188"/>
    <d v="2014-06-12T00:00:00"/>
    <x v="1"/>
    <s v="KE-16420"/>
    <s v="Katrina Edelman"/>
    <x v="0"/>
    <x v="0"/>
    <s v="Bristol"/>
    <x v="17"/>
    <n v="37620"/>
    <x v="0"/>
    <s v="FUR-CH-10002647"/>
    <x v="2"/>
    <x v="13"/>
    <x v="208"/>
    <n v="170.352"/>
    <x v="2"/>
    <x v="1"/>
    <n v="10.647"/>
    <x v="2"/>
    <x v="5"/>
    <x v="5"/>
  </r>
  <r>
    <n v="690"/>
    <s v="US-2014-117135"/>
    <x v="189"/>
    <d v="2014-06-23T00:00:00"/>
    <x v="0"/>
    <s v="NP-18325"/>
    <s v="Naresj Patel"/>
    <x v="2"/>
    <x v="0"/>
    <s v="Waynesboro"/>
    <x v="1"/>
    <n v="22980"/>
    <x v="0"/>
    <s v="FUR-FU-10004071"/>
    <x v="2"/>
    <x v="5"/>
    <x v="209"/>
    <n v="104.01"/>
    <x v="1"/>
    <x v="0"/>
    <n v="14.561400000000001"/>
    <x v="0"/>
    <x v="5"/>
    <x v="5"/>
  </r>
  <r>
    <n v="238"/>
    <s v="CA-2016-157749"/>
    <x v="183"/>
    <d v="2016-06-09T00:00:00"/>
    <x v="0"/>
    <s v="KL-16645"/>
    <s v="Ken Lonsdale"/>
    <x v="2"/>
    <x v="0"/>
    <s v="Chicago"/>
    <x v="5"/>
    <n v="60610"/>
    <x v="3"/>
    <s v="OFF-PA-10003349"/>
    <x v="0"/>
    <x v="9"/>
    <x v="210"/>
    <n v="25.92"/>
    <x v="3"/>
    <x v="1"/>
    <n v="9.3960000000000008"/>
    <x v="1"/>
    <x v="5"/>
    <x v="5"/>
  </r>
  <r>
    <n v="3881"/>
    <s v="CA-2015-129896"/>
    <x v="190"/>
    <d v="2015-06-20T00:00:00"/>
    <x v="1"/>
    <s v="PF-19120"/>
    <s v="Peter Fuller"/>
    <x v="2"/>
    <x v="0"/>
    <s v="Gilbert"/>
    <x v="19"/>
    <n v="85234"/>
    <x v="1"/>
    <s v="OFF-PA-10002245"/>
    <x v="0"/>
    <x v="9"/>
    <x v="211"/>
    <n v="9.5679999999999996"/>
    <x v="0"/>
    <x v="1"/>
    <n v="2.99"/>
    <x v="1"/>
    <x v="5"/>
    <x v="5"/>
  </r>
  <r>
    <n v="1331"/>
    <s v="CA-2017-127705"/>
    <x v="191"/>
    <d v="2017-06-06T00:00:00"/>
    <x v="1"/>
    <s v="AB-10255"/>
    <s v="Alejandro Ballentine"/>
    <x v="1"/>
    <x v="0"/>
    <s v="Lorain"/>
    <x v="3"/>
    <n v="44052"/>
    <x v="2"/>
    <s v="TEC-PH-10000347"/>
    <x v="1"/>
    <x v="7"/>
    <x v="212"/>
    <n v="2.97"/>
    <x v="1"/>
    <x v="5"/>
    <n v="-0.64349999999999996"/>
    <x v="2"/>
    <x v="5"/>
    <x v="5"/>
  </r>
  <r>
    <n v="3944"/>
    <s v="US-2016-142685"/>
    <x v="192"/>
    <d v="2016-06-30T00:00:00"/>
    <x v="1"/>
    <s v="MG-17695"/>
    <s v="Maureen Gnade"/>
    <x v="2"/>
    <x v="0"/>
    <s v="Buffalo"/>
    <x v="20"/>
    <n v="14215"/>
    <x v="2"/>
    <s v="OFF-SU-10000157"/>
    <x v="0"/>
    <x v="16"/>
    <x v="213"/>
    <n v="835.17"/>
    <x v="4"/>
    <x v="0"/>
    <n v="16.703399999999998"/>
    <x v="5"/>
    <x v="5"/>
    <x v="5"/>
  </r>
  <r>
    <n v="3573"/>
    <s v="US-2017-126081"/>
    <x v="193"/>
    <d v="2017-07-04T00:00:00"/>
    <x v="1"/>
    <s v="FC-14335"/>
    <s v="Fred Chung"/>
    <x v="0"/>
    <x v="0"/>
    <s v="Mesquite"/>
    <x v="11"/>
    <n v="75150"/>
    <x v="3"/>
    <s v="OFF-PA-10003953"/>
    <x v="0"/>
    <x v="9"/>
    <x v="88"/>
    <n v="5.1840000000000002"/>
    <x v="1"/>
    <x v="1"/>
    <n v="1.8144"/>
    <x v="1"/>
    <x v="5"/>
    <x v="5"/>
  </r>
  <r>
    <n v="2638"/>
    <s v="CA-2017-108441"/>
    <x v="194"/>
    <d v="2017-06-18T00:00:00"/>
    <x v="1"/>
    <s v="SB-20170"/>
    <s v="Sarah Bern"/>
    <x v="2"/>
    <x v="0"/>
    <s v="New York City"/>
    <x v="20"/>
    <n v="10035"/>
    <x v="2"/>
    <s v="OFF-PA-10000697"/>
    <x v="0"/>
    <x v="9"/>
    <x v="214"/>
    <n v="19.04"/>
    <x v="6"/>
    <x v="0"/>
    <n v="9.3295999999999992"/>
    <x v="4"/>
    <x v="5"/>
    <x v="5"/>
  </r>
  <r>
    <n v="861"/>
    <s v="CA-2014-133851"/>
    <x v="185"/>
    <d v="2014-06-16T00:00:00"/>
    <x v="1"/>
    <s v="CM-12445"/>
    <s v="Chuck Magee"/>
    <x v="2"/>
    <x v="0"/>
    <s v="San Francisco"/>
    <x v="7"/>
    <n v="94122"/>
    <x v="1"/>
    <s v="OFF-SU-10001225"/>
    <x v="0"/>
    <x v="16"/>
    <x v="215"/>
    <n v="7.36"/>
    <x v="0"/>
    <x v="0"/>
    <n v="0.1472"/>
    <x v="5"/>
    <x v="5"/>
    <x v="5"/>
  </r>
  <r>
    <n v="1286"/>
    <s v="CA-2016-119445"/>
    <x v="180"/>
    <d v="2016-07-03T00:00:00"/>
    <x v="1"/>
    <s v="GM-14500"/>
    <s v="Gene McClure"/>
    <x v="2"/>
    <x v="0"/>
    <s v="Providence"/>
    <x v="35"/>
    <n v="2908"/>
    <x v="2"/>
    <s v="OFF-ST-10000617"/>
    <x v="0"/>
    <x v="2"/>
    <x v="216"/>
    <n v="14.9"/>
    <x v="3"/>
    <x v="0"/>
    <n v="1.0429999999999999"/>
    <x v="5"/>
    <x v="5"/>
    <x v="5"/>
  </r>
  <r>
    <n v="2980"/>
    <s v="CA-2015-139850"/>
    <x v="195"/>
    <d v="2015-06-17T00:00:00"/>
    <x v="1"/>
    <s v="GB-14575"/>
    <s v="Giulietta Baptist"/>
    <x v="2"/>
    <x v="0"/>
    <s v="Philadelphia"/>
    <x v="31"/>
    <n v="19134"/>
    <x v="2"/>
    <s v="OFF-PA-10003848"/>
    <x v="0"/>
    <x v="9"/>
    <x v="217"/>
    <n v="20.736000000000001"/>
    <x v="6"/>
    <x v="1"/>
    <n v="7.2576000000000001"/>
    <x v="1"/>
    <x v="5"/>
    <x v="5"/>
  </r>
  <r>
    <n v="417"/>
    <s v="CA-2017-122105"/>
    <x v="196"/>
    <d v="2017-06-28T00:00:00"/>
    <x v="1"/>
    <s v="CJ-12010"/>
    <s v="Caroline Jumper"/>
    <x v="2"/>
    <x v="0"/>
    <s v="Huntington Beach"/>
    <x v="7"/>
    <n v="92646"/>
    <x v="1"/>
    <s v="OFF-AR-10004344"/>
    <x v="0"/>
    <x v="3"/>
    <x v="218"/>
    <n v="95.92"/>
    <x v="5"/>
    <x v="0"/>
    <n v="25.898399999999999"/>
    <x v="2"/>
    <x v="5"/>
    <x v="5"/>
  </r>
  <r>
    <n v="823"/>
    <s v="CA-2017-101434"/>
    <x v="197"/>
    <d v="2017-06-27T00:00:00"/>
    <x v="1"/>
    <s v="TR-21325"/>
    <s v="Toby Ritter"/>
    <x v="2"/>
    <x v="0"/>
    <s v="Belleville"/>
    <x v="18"/>
    <n v="7109"/>
    <x v="2"/>
    <s v="TEC-AC-10002402"/>
    <x v="1"/>
    <x v="4"/>
    <x v="219"/>
    <n v="239.97"/>
    <x v="2"/>
    <x v="0"/>
    <n v="71.991"/>
    <x v="5"/>
    <x v="5"/>
    <x v="5"/>
  </r>
  <r>
    <n v="98"/>
    <s v="CA-2017-157833"/>
    <x v="198"/>
    <d v="2017-06-20T00:00:00"/>
    <x v="2"/>
    <s v="KD-16345"/>
    <s v="Katherine Ducich"/>
    <x v="2"/>
    <x v="0"/>
    <s v="San Francisco"/>
    <x v="7"/>
    <n v="94122"/>
    <x v="1"/>
    <s v="OFF-BI-10001721"/>
    <x v="0"/>
    <x v="10"/>
    <x v="220"/>
    <n v="51.311999999999998"/>
    <x v="2"/>
    <x v="1"/>
    <n v="17.959199999999999"/>
    <x v="3"/>
    <x v="5"/>
    <x v="5"/>
  </r>
  <r>
    <n v="1552"/>
    <s v="CA-2016-159345"/>
    <x v="186"/>
    <d v="2016-06-22T00:00:00"/>
    <x v="1"/>
    <s v="IG-15085"/>
    <s v="Ivan Gibson"/>
    <x v="2"/>
    <x v="0"/>
    <s v="San Diego"/>
    <x v="7"/>
    <n v="92024"/>
    <x v="1"/>
    <s v="OFF-PA-10000806"/>
    <x v="0"/>
    <x v="9"/>
    <x v="221"/>
    <n v="111.96"/>
    <x v="0"/>
    <x v="0"/>
    <n v="54.860399999999998"/>
    <x v="1"/>
    <x v="5"/>
    <x v="5"/>
  </r>
  <r>
    <n v="777"/>
    <s v="CA-2014-165974"/>
    <x v="199"/>
    <d v="2014-07-06T00:00:00"/>
    <x v="1"/>
    <s v="DL-12865"/>
    <s v="Dan Lawera"/>
    <x v="2"/>
    <x v="0"/>
    <s v="Cincinnati"/>
    <x v="3"/>
    <n v="45231"/>
    <x v="2"/>
    <s v="OFF-AR-10003405"/>
    <x v="0"/>
    <x v="3"/>
    <x v="222"/>
    <n v="32.76"/>
    <x v="4"/>
    <x v="1"/>
    <n v="3.6855000000000002"/>
    <x v="5"/>
    <x v="5"/>
    <x v="5"/>
  </r>
  <r>
    <n v="437"/>
    <s v="CA-2016-147375"/>
    <x v="200"/>
    <d v="2016-06-14T00:00:00"/>
    <x v="0"/>
    <s v="PO-19180"/>
    <s v="Philisse Overcash"/>
    <x v="1"/>
    <x v="0"/>
    <s v="Chicago"/>
    <x v="5"/>
    <n v="60623"/>
    <x v="3"/>
    <s v="TEC-MA-10002937"/>
    <x v="1"/>
    <x v="11"/>
    <x v="223"/>
    <n v="1007.979"/>
    <x v="2"/>
    <x v="8"/>
    <n v="43.199100000000001"/>
    <x v="0"/>
    <x v="5"/>
    <x v="5"/>
  </r>
  <r>
    <n v="307"/>
    <s v="CA-2014-111003"/>
    <x v="201"/>
    <d v="2014-06-06T00:00:00"/>
    <x v="1"/>
    <s v="CR-12625"/>
    <s v="Corey Roper"/>
    <x v="1"/>
    <x v="0"/>
    <s v="Lakewood"/>
    <x v="18"/>
    <n v="8701"/>
    <x v="2"/>
    <s v="OFF-BI-10001072"/>
    <x v="0"/>
    <x v="10"/>
    <x v="224"/>
    <n v="45.48"/>
    <x v="2"/>
    <x v="0"/>
    <n v="20.9208"/>
    <x v="1"/>
    <x v="5"/>
    <x v="5"/>
  </r>
  <r>
    <n v="201"/>
    <s v="CA-2017-105074"/>
    <x v="196"/>
    <d v="2017-06-29T00:00:00"/>
    <x v="1"/>
    <s v="MB-17305"/>
    <s v="Maria Bertelson"/>
    <x v="2"/>
    <x v="0"/>
    <s v="Akron"/>
    <x v="3"/>
    <n v="44312"/>
    <x v="2"/>
    <s v="OFF-PA-10002666"/>
    <x v="0"/>
    <x v="9"/>
    <x v="225"/>
    <n v="21.744"/>
    <x v="2"/>
    <x v="1"/>
    <n v="6.7949999999999999"/>
    <x v="1"/>
    <x v="5"/>
    <x v="5"/>
  </r>
  <r>
    <n v="262"/>
    <s v="US-2017-155299"/>
    <x v="202"/>
    <d v="2017-06-12T00:00:00"/>
    <x v="1"/>
    <s v="Dl-13600"/>
    <s v="Dorris liebe"/>
    <x v="0"/>
    <x v="0"/>
    <s v="Pasadena"/>
    <x v="11"/>
    <n v="77506"/>
    <x v="3"/>
    <s v="OFF-AP-10002203"/>
    <x v="0"/>
    <x v="14"/>
    <x v="226"/>
    <n v="1.6240000000000001"/>
    <x v="0"/>
    <x v="6"/>
    <n v="-4.4660000000000002"/>
    <x v="2"/>
    <x v="5"/>
    <x v="5"/>
  </r>
  <r>
    <n v="1038"/>
    <s v="CA-2015-127418"/>
    <x v="203"/>
    <d v="2015-06-14T00:00:00"/>
    <x v="2"/>
    <s v="JJ-15445"/>
    <s v="Jennifer Jackson"/>
    <x v="2"/>
    <x v="0"/>
    <s v="Los Angeles"/>
    <x v="7"/>
    <n v="90004"/>
    <x v="1"/>
    <s v="OFF-BI-10003707"/>
    <x v="0"/>
    <x v="10"/>
    <x v="227"/>
    <n v="36.624000000000002"/>
    <x v="2"/>
    <x v="1"/>
    <n v="13.734"/>
    <x v="7"/>
    <x v="5"/>
    <x v="5"/>
  </r>
  <r>
    <n v="120"/>
    <s v="CA-2016-103730"/>
    <x v="200"/>
    <d v="2016-06-15T00:00:00"/>
    <x v="2"/>
    <s v="SC-20725"/>
    <s v="Steven Cartwright"/>
    <x v="2"/>
    <x v="0"/>
    <s v="Wilmington"/>
    <x v="14"/>
    <n v="19805"/>
    <x v="2"/>
    <s v="FUR-FU-10002157"/>
    <x v="2"/>
    <x v="5"/>
    <x v="228"/>
    <n v="47.04"/>
    <x v="2"/>
    <x v="0"/>
    <n v="18.345600000000001"/>
    <x v="3"/>
    <x v="5"/>
    <x v="5"/>
  </r>
  <r>
    <n v="80"/>
    <s v="CA-2016-127208"/>
    <x v="200"/>
    <d v="2016-06-15T00:00:00"/>
    <x v="2"/>
    <s v="SC-20770"/>
    <s v="Stewart Carmichael"/>
    <x v="0"/>
    <x v="0"/>
    <s v="Decatur"/>
    <x v="6"/>
    <n v="35601"/>
    <x v="0"/>
    <s v="OFF-AP-10002118"/>
    <x v="0"/>
    <x v="14"/>
    <x v="229"/>
    <n v="208.16"/>
    <x v="1"/>
    <x v="0"/>
    <n v="56.203200000000002"/>
    <x v="3"/>
    <x v="5"/>
    <x v="5"/>
  </r>
  <r>
    <n v="1563"/>
    <s v="US-2017-102890"/>
    <x v="204"/>
    <d v="2017-06-30T00:00:00"/>
    <x v="3"/>
    <s v="SG-20470"/>
    <s v="Sheri Gordon"/>
    <x v="2"/>
    <x v="0"/>
    <s v="New York City"/>
    <x v="20"/>
    <n v="10011"/>
    <x v="2"/>
    <s v="FUR-TA-10000577"/>
    <x v="2"/>
    <x v="6"/>
    <x v="230"/>
    <n v="1044.6300000000001"/>
    <x v="3"/>
    <x v="5"/>
    <n v="-295.9785"/>
    <x v="6"/>
    <x v="5"/>
    <x v="5"/>
  </r>
  <r>
    <n v="205"/>
    <s v="CA-2017-126382"/>
    <x v="205"/>
    <d v="2017-06-07T00:00:00"/>
    <x v="1"/>
    <s v="HK-14890"/>
    <s v="Heather Kirkland"/>
    <x v="0"/>
    <x v="0"/>
    <s v="Franklin"/>
    <x v="17"/>
    <n v="37064"/>
    <x v="0"/>
    <s v="FUR-FU-10002960"/>
    <x v="2"/>
    <x v="5"/>
    <x v="231"/>
    <n v="35.167999999999999"/>
    <x v="4"/>
    <x v="1"/>
    <n v="9.6712000000000007"/>
    <x v="2"/>
    <x v="5"/>
    <x v="5"/>
  </r>
  <r>
    <n v="851"/>
    <s v="CA-2016-152534"/>
    <x v="187"/>
    <d v="2016-06-25T00:00:00"/>
    <x v="0"/>
    <s v="DP-13105"/>
    <s v="Dave Poirier"/>
    <x v="0"/>
    <x v="0"/>
    <s v="Salinas"/>
    <x v="7"/>
    <n v="93905"/>
    <x v="1"/>
    <s v="OFF-AR-10002335"/>
    <x v="0"/>
    <x v="3"/>
    <x v="232"/>
    <n v="5.16"/>
    <x v="0"/>
    <x v="0"/>
    <n v="1.3415999999999999"/>
    <x v="1"/>
    <x v="5"/>
    <x v="5"/>
  </r>
  <r>
    <n v="2678"/>
    <s v="US-2014-160780"/>
    <x v="189"/>
    <d v="2014-06-21T00:00:00"/>
    <x v="3"/>
    <s v="SV-20785"/>
    <s v="Stewart Visinsky"/>
    <x v="2"/>
    <x v="0"/>
    <s v="Pueblo"/>
    <x v="9"/>
    <n v="81001"/>
    <x v="1"/>
    <s v="OFF-BI-10001116"/>
    <x v="0"/>
    <x v="10"/>
    <x v="233"/>
    <n v="11.087999999999999"/>
    <x v="4"/>
    <x v="7"/>
    <n v="-8.1311999999999998"/>
    <x v="6"/>
    <x v="5"/>
    <x v="5"/>
  </r>
  <r>
    <n v="245"/>
    <s v="CA-2014-131926"/>
    <x v="201"/>
    <d v="2014-06-06T00:00:00"/>
    <x v="0"/>
    <s v="DW-13480"/>
    <s v="Dianna Wilson"/>
    <x v="1"/>
    <x v="0"/>
    <s v="Lakeville"/>
    <x v="10"/>
    <n v="55044"/>
    <x v="3"/>
    <s v="FUR-CH-10004063"/>
    <x v="2"/>
    <x v="13"/>
    <x v="95"/>
    <n v="2001.86"/>
    <x v="4"/>
    <x v="0"/>
    <n v="580.5394"/>
    <x v="1"/>
    <x v="5"/>
    <x v="5"/>
  </r>
  <r>
    <n v="666"/>
    <s v="CA-2017-132682"/>
    <x v="202"/>
    <d v="2017-06-10T00:00:00"/>
    <x v="0"/>
    <s v="TH-21235"/>
    <s v="Tiffany House"/>
    <x v="0"/>
    <x v="0"/>
    <s v="Dallas"/>
    <x v="11"/>
    <n v="75081"/>
    <x v="3"/>
    <s v="OFF-SU-10004231"/>
    <x v="0"/>
    <x v="16"/>
    <x v="234"/>
    <n v="23.76"/>
    <x v="2"/>
    <x v="1"/>
    <n v="2.0790000000000002"/>
    <x v="0"/>
    <x v="5"/>
    <x v="5"/>
  </r>
  <r>
    <n v="2602"/>
    <s v="CA-2016-165848"/>
    <x v="183"/>
    <d v="2016-06-04T00:00:00"/>
    <x v="3"/>
    <s v="EN-13780"/>
    <s v="Edward Nazzal"/>
    <x v="2"/>
    <x v="0"/>
    <s v="New York City"/>
    <x v="20"/>
    <n v="10035"/>
    <x v="2"/>
    <s v="OFF-PA-10000349"/>
    <x v="0"/>
    <x v="9"/>
    <x v="235"/>
    <n v="14.94"/>
    <x v="2"/>
    <x v="0"/>
    <n v="7.0217999999999998"/>
    <x v="6"/>
    <x v="5"/>
    <x v="5"/>
  </r>
  <r>
    <n v="4021"/>
    <s v="CA-2014-154963"/>
    <x v="206"/>
    <d v="2014-06-27T00:00:00"/>
    <x v="1"/>
    <s v="AA-10645"/>
    <s v="Anna Andreadi"/>
    <x v="2"/>
    <x v="0"/>
    <s v="Chester"/>
    <x v="31"/>
    <n v="19013"/>
    <x v="2"/>
    <s v="FUR-CH-10004698"/>
    <x v="2"/>
    <x v="13"/>
    <x v="236"/>
    <n v="170.05799999999999"/>
    <x v="2"/>
    <x v="8"/>
    <n v="-4.8587999999999996"/>
    <x v="1"/>
    <x v="5"/>
    <x v="5"/>
  </r>
  <r>
    <n v="934"/>
    <s v="CA-2016-140081"/>
    <x v="187"/>
    <d v="2016-06-24T00:00:00"/>
    <x v="1"/>
    <s v="CG-12040"/>
    <s v="Catherine Glotzbach"/>
    <x v="1"/>
    <x v="0"/>
    <s v="Philadelphia"/>
    <x v="31"/>
    <n v="19120"/>
    <x v="2"/>
    <s v="OFF-PA-10001745"/>
    <x v="0"/>
    <x v="9"/>
    <x v="237"/>
    <n v="45.055999999999997"/>
    <x v="5"/>
    <x v="1"/>
    <n v="15.2064"/>
    <x v="2"/>
    <x v="5"/>
    <x v="5"/>
  </r>
  <r>
    <n v="2957"/>
    <s v="CA-2017-123638"/>
    <x v="207"/>
    <d v="2017-07-04T00:00:00"/>
    <x v="1"/>
    <s v="MA-17995"/>
    <s v="Michelle Arnett"/>
    <x v="1"/>
    <x v="0"/>
    <s v="Watertown"/>
    <x v="20"/>
    <n v="13601"/>
    <x v="2"/>
    <s v="FUR-CH-10002647"/>
    <x v="2"/>
    <x v="13"/>
    <x v="208"/>
    <n v="191.64599999999999"/>
    <x v="2"/>
    <x v="9"/>
    <n v="31.940999999999999"/>
    <x v="5"/>
    <x v="5"/>
    <x v="5"/>
  </r>
  <r>
    <n v="265"/>
    <s v="CA-2016-125318"/>
    <x v="208"/>
    <d v="2016-06-13T00:00:00"/>
    <x v="1"/>
    <s v="RC-19825"/>
    <s v="Roy Collins"/>
    <x v="2"/>
    <x v="0"/>
    <s v="Chicago"/>
    <x v="5"/>
    <n v="60610"/>
    <x v="3"/>
    <s v="TEC-PH-10001433"/>
    <x v="1"/>
    <x v="7"/>
    <x v="238"/>
    <n v="328.22399999999999"/>
    <x v="6"/>
    <x v="1"/>
    <n v="28.7196"/>
    <x v="5"/>
    <x v="5"/>
    <x v="5"/>
  </r>
  <r>
    <n v="5428"/>
    <s v="US-2016-108497"/>
    <x v="209"/>
    <d v="2016-06-14T00:00:00"/>
    <x v="3"/>
    <s v="MH-17290"/>
    <s v="Marc Harrigan"/>
    <x v="1"/>
    <x v="0"/>
    <s v="Los Angeles"/>
    <x v="7"/>
    <n v="90036"/>
    <x v="1"/>
    <s v="FUR-BO-10004218"/>
    <x v="2"/>
    <x v="8"/>
    <x v="239"/>
    <n v="599.16499999999996"/>
    <x v="3"/>
    <x v="2"/>
    <n v="35.244999999999997"/>
    <x v="6"/>
    <x v="5"/>
    <x v="5"/>
  </r>
  <r>
    <n v="1414"/>
    <s v="CA-2014-146640"/>
    <x v="210"/>
    <d v="2014-07-05T00:00:00"/>
    <x v="1"/>
    <s v="HA-14905"/>
    <s v="Helen Abelman"/>
    <x v="2"/>
    <x v="0"/>
    <s v="New York City"/>
    <x v="20"/>
    <n v="10024"/>
    <x v="2"/>
    <s v="OFF-BI-10002867"/>
    <x v="0"/>
    <x v="10"/>
    <x v="240"/>
    <n v="334.76799999999997"/>
    <x v="4"/>
    <x v="1"/>
    <n v="108.7996"/>
    <x v="1"/>
    <x v="5"/>
    <x v="5"/>
  </r>
  <r>
    <n v="2309"/>
    <s v="US-2017-120418"/>
    <x v="211"/>
    <d v="2017-06-12T00:00:00"/>
    <x v="2"/>
    <s v="BC-11125"/>
    <s v="Becky Castell"/>
    <x v="1"/>
    <x v="0"/>
    <s v="Peoria"/>
    <x v="19"/>
    <n v="85345"/>
    <x v="1"/>
    <s v="FUR-CH-10001394"/>
    <x v="2"/>
    <x v="13"/>
    <x v="241"/>
    <n v="280.79199999999997"/>
    <x v="1"/>
    <x v="1"/>
    <n v="35.098999999999997"/>
    <x v="7"/>
    <x v="5"/>
    <x v="5"/>
  </r>
  <r>
    <n v="2412"/>
    <s v="CA-2015-142041"/>
    <x v="212"/>
    <d v="2015-06-09T00:00:00"/>
    <x v="0"/>
    <s v="EM-13810"/>
    <s v="Eleni McCrary"/>
    <x v="0"/>
    <x v="0"/>
    <s v="Los Angeles"/>
    <x v="7"/>
    <n v="90036"/>
    <x v="1"/>
    <s v="OFF-BI-10004187"/>
    <x v="0"/>
    <x v="10"/>
    <x v="242"/>
    <n v="7.52"/>
    <x v="3"/>
    <x v="1"/>
    <n v="2.6320000000000001"/>
    <x v="0"/>
    <x v="5"/>
    <x v="5"/>
  </r>
  <r>
    <n v="1160"/>
    <s v="CA-2017-147039"/>
    <x v="193"/>
    <d v="2017-07-04T00:00:00"/>
    <x v="1"/>
    <s v="AA-10315"/>
    <s v="Alex Avila"/>
    <x v="2"/>
    <x v="0"/>
    <s v="Minneapolis"/>
    <x v="10"/>
    <n v="55407"/>
    <x v="3"/>
    <s v="OFF-AP-10000576"/>
    <x v="0"/>
    <x v="14"/>
    <x v="243"/>
    <n v="362.94"/>
    <x v="2"/>
    <x v="0"/>
    <n v="90.734999999999999"/>
    <x v="1"/>
    <x v="5"/>
    <x v="5"/>
  </r>
  <r>
    <n v="6506"/>
    <s v="CA-2016-152331"/>
    <x v="180"/>
    <d v="2016-06-30T00:00:00"/>
    <x v="1"/>
    <s v="LD-16855"/>
    <s v="Lela Donovan"/>
    <x v="0"/>
    <x v="0"/>
    <s v="Chicago"/>
    <x v="5"/>
    <n v="60653"/>
    <x v="3"/>
    <s v="OFF-AR-10001547"/>
    <x v="0"/>
    <x v="3"/>
    <x v="7"/>
    <n v="5.3040000000000003"/>
    <x v="2"/>
    <x v="1"/>
    <n v="0.46410000000000001"/>
    <x v="2"/>
    <x v="5"/>
    <x v="5"/>
  </r>
  <r>
    <n v="2232"/>
    <s v="CA-2017-157091"/>
    <x v="213"/>
    <d v="2017-07-01T00:00:00"/>
    <x v="1"/>
    <s v="DB-13405"/>
    <s v="Denny Blanton"/>
    <x v="2"/>
    <x v="0"/>
    <s v="La Porte"/>
    <x v="29"/>
    <n v="46350"/>
    <x v="3"/>
    <s v="FUR-FU-10000293"/>
    <x v="2"/>
    <x v="5"/>
    <x v="244"/>
    <n v="526.45000000000005"/>
    <x v="3"/>
    <x v="0"/>
    <n v="31.587"/>
    <x v="1"/>
    <x v="5"/>
    <x v="5"/>
  </r>
  <r>
    <n v="557"/>
    <s v="CA-2016-113243"/>
    <x v="214"/>
    <d v="2016-06-15T00:00:00"/>
    <x v="1"/>
    <s v="OT-18730"/>
    <s v="Olvera Toch"/>
    <x v="2"/>
    <x v="0"/>
    <s v="Los Angeles"/>
    <x v="7"/>
    <n v="90045"/>
    <x v="1"/>
    <s v="OFF-LA-10001297"/>
    <x v="0"/>
    <x v="1"/>
    <x v="245"/>
    <n v="20.7"/>
    <x v="0"/>
    <x v="0"/>
    <n v="9.9359999999999999"/>
    <x v="1"/>
    <x v="5"/>
    <x v="5"/>
  </r>
  <r>
    <n v="6"/>
    <s v="CA-2014-115812"/>
    <x v="185"/>
    <d v="2014-06-14T00:00:00"/>
    <x v="1"/>
    <s v="BH-11710"/>
    <s v="Brosina Hoffman"/>
    <x v="2"/>
    <x v="0"/>
    <s v="Los Angeles"/>
    <x v="7"/>
    <n v="90032"/>
    <x v="1"/>
    <s v="FUR-FU-10001487"/>
    <x v="2"/>
    <x v="5"/>
    <x v="246"/>
    <n v="48.86"/>
    <x v="4"/>
    <x v="0"/>
    <n v="14.1694"/>
    <x v="1"/>
    <x v="5"/>
    <x v="5"/>
  </r>
  <r>
    <n v="3"/>
    <s v="CA-2016-138688"/>
    <x v="200"/>
    <d v="2016-06-16T00:00:00"/>
    <x v="0"/>
    <s v="DV-13045"/>
    <s v="Darrin Van Huff"/>
    <x v="0"/>
    <x v="0"/>
    <s v="Los Angeles"/>
    <x v="7"/>
    <n v="90036"/>
    <x v="1"/>
    <s v="OFF-LA-10000240"/>
    <x v="0"/>
    <x v="1"/>
    <x v="247"/>
    <n v="14.62"/>
    <x v="0"/>
    <x v="0"/>
    <n v="6.8714000000000004"/>
    <x v="2"/>
    <x v="5"/>
    <x v="5"/>
  </r>
  <r>
    <n v="8537"/>
    <s v="CA-2015-157343"/>
    <x v="212"/>
    <d v="2015-06-11T00:00:00"/>
    <x v="1"/>
    <s v="HD-14785"/>
    <s v="Harold Dahlen"/>
    <x v="1"/>
    <x v="0"/>
    <s v="Philadelphia"/>
    <x v="31"/>
    <n v="19143"/>
    <x v="2"/>
    <s v="OFF-BI-10003707"/>
    <x v="0"/>
    <x v="10"/>
    <x v="227"/>
    <n v="18.312000000000001"/>
    <x v="6"/>
    <x v="7"/>
    <n v="-12.208"/>
    <x v="2"/>
    <x v="5"/>
    <x v="5"/>
  </r>
  <r>
    <n v="384"/>
    <s v="CA-2015-125395"/>
    <x v="215"/>
    <d v="2015-06-29T00:00:00"/>
    <x v="0"/>
    <s v="LA-16780"/>
    <s v="Laura Armstrong"/>
    <x v="0"/>
    <x v="0"/>
    <s v="Taylor"/>
    <x v="13"/>
    <n v="48180"/>
    <x v="3"/>
    <s v="TEC-AC-10004708"/>
    <x v="1"/>
    <x v="4"/>
    <x v="248"/>
    <n v="41.9"/>
    <x v="0"/>
    <x v="0"/>
    <n v="8.7989999999999995"/>
    <x v="3"/>
    <x v="5"/>
    <x v="5"/>
  </r>
  <r>
    <n v="1436"/>
    <s v="CA-2017-106852"/>
    <x v="197"/>
    <d v="2017-06-27T00:00:00"/>
    <x v="1"/>
    <s v="ST-20530"/>
    <s v="Shui Tom"/>
    <x v="2"/>
    <x v="0"/>
    <s v="Parma"/>
    <x v="3"/>
    <n v="44134"/>
    <x v="2"/>
    <s v="OFF-PA-10001639"/>
    <x v="0"/>
    <x v="9"/>
    <x v="249"/>
    <n v="31.103999999999999"/>
    <x v="7"/>
    <x v="1"/>
    <n v="10.8864"/>
    <x v="5"/>
    <x v="5"/>
    <x v="5"/>
  </r>
  <r>
    <n v="941"/>
    <s v="CA-2016-105760"/>
    <x v="216"/>
    <d v="2016-06-20T00:00:00"/>
    <x v="2"/>
    <s v="KC-16255"/>
    <s v="Karen Carlisle"/>
    <x v="0"/>
    <x v="0"/>
    <s v="San Francisco"/>
    <x v="7"/>
    <n v="94110"/>
    <x v="1"/>
    <s v="OFF-PA-10000350"/>
    <x v="0"/>
    <x v="9"/>
    <x v="250"/>
    <n v="17.12"/>
    <x v="0"/>
    <x v="0"/>
    <n v="8.0464000000000002"/>
    <x v="7"/>
    <x v="5"/>
    <x v="5"/>
  </r>
  <r>
    <n v="346"/>
    <s v="CA-2017-169901"/>
    <x v="217"/>
    <d v="2017-06-19T00:00:00"/>
    <x v="1"/>
    <s v="CC-12550"/>
    <s v="Clay Cheatham"/>
    <x v="2"/>
    <x v="0"/>
    <s v="San Francisco"/>
    <x v="7"/>
    <n v="94122"/>
    <x v="1"/>
    <s v="TEC-PH-10002293"/>
    <x v="1"/>
    <x v="7"/>
    <x v="28"/>
    <n v="47.975999999999999"/>
    <x v="2"/>
    <x v="1"/>
    <n v="4.7976000000000001"/>
    <x v="2"/>
    <x v="5"/>
    <x v="5"/>
  </r>
  <r>
    <n v="395"/>
    <s v="CA-2017-102946"/>
    <x v="204"/>
    <d v="2017-07-05T00:00:00"/>
    <x v="1"/>
    <s v="VP-21730"/>
    <s v="Victor Preis"/>
    <x v="1"/>
    <x v="0"/>
    <s v="Las Vegas"/>
    <x v="21"/>
    <n v="89115"/>
    <x v="1"/>
    <s v="OFF-BI-10004492"/>
    <x v="0"/>
    <x v="10"/>
    <x v="251"/>
    <n v="75.792000000000002"/>
    <x v="2"/>
    <x v="1"/>
    <n v="25.579799999999999"/>
    <x v="1"/>
    <x v="5"/>
    <x v="5"/>
  </r>
  <r>
    <n v="394"/>
    <s v="US-2014-134971"/>
    <x v="218"/>
    <d v="2014-06-10T00:00:00"/>
    <x v="0"/>
    <s v="BP-11095"/>
    <s v="Bart Pistole"/>
    <x v="0"/>
    <x v="0"/>
    <s v="Peoria"/>
    <x v="5"/>
    <n v="61604"/>
    <x v="3"/>
    <s v="OFF-BI-10003982"/>
    <x v="0"/>
    <x v="10"/>
    <x v="252"/>
    <n v="12.462"/>
    <x v="2"/>
    <x v="6"/>
    <n v="-20.5623"/>
    <x v="3"/>
    <x v="5"/>
    <x v="5"/>
  </r>
  <r>
    <n v="2127"/>
    <s v="CA-2014-126032"/>
    <x v="219"/>
    <d v="2014-06-28T00:00:00"/>
    <x v="1"/>
    <s v="BS-11665"/>
    <s v="Brian Stugart"/>
    <x v="2"/>
    <x v="0"/>
    <s v="Philadelphia"/>
    <x v="31"/>
    <n v="19143"/>
    <x v="2"/>
    <s v="TEC-AC-10000158"/>
    <x v="1"/>
    <x v="4"/>
    <x v="253"/>
    <n v="86.376000000000005"/>
    <x v="2"/>
    <x v="1"/>
    <n v="1.0797000000000001"/>
    <x v="1"/>
    <x v="5"/>
    <x v="5"/>
  </r>
  <r>
    <n v="267"/>
    <s v="CA-2017-136826"/>
    <x v="220"/>
    <d v="2017-06-20T00:00:00"/>
    <x v="1"/>
    <s v="CB-12535"/>
    <s v="Claudia Bergmann"/>
    <x v="0"/>
    <x v="0"/>
    <s v="Chapel Hill"/>
    <x v="8"/>
    <n v="27514"/>
    <x v="0"/>
    <s v="OFF-AR-10003602"/>
    <x v="0"/>
    <x v="3"/>
    <x v="254"/>
    <n v="14.016"/>
    <x v="2"/>
    <x v="1"/>
    <n v="4.7304000000000004"/>
    <x v="2"/>
    <x v="5"/>
    <x v="5"/>
  </r>
  <r>
    <n v="644"/>
    <s v="CA-2017-106103"/>
    <x v="182"/>
    <d v="2017-06-15T00:00:00"/>
    <x v="1"/>
    <s v="SC-20305"/>
    <s v="Sean Christensen"/>
    <x v="2"/>
    <x v="0"/>
    <s v="Rochester Hills"/>
    <x v="13"/>
    <n v="48307"/>
    <x v="3"/>
    <s v="TEC-AC-10003832"/>
    <x v="1"/>
    <x v="4"/>
    <x v="193"/>
    <n v="132.52000000000001"/>
    <x v="6"/>
    <x v="0"/>
    <n v="54.333199999999998"/>
    <x v="1"/>
    <x v="5"/>
    <x v="5"/>
  </r>
  <r>
    <n v="1099"/>
    <s v="CA-2016-107216"/>
    <x v="209"/>
    <d v="2016-06-17T00:00:00"/>
    <x v="2"/>
    <s v="PV-18985"/>
    <s v="Paul Van Hugh"/>
    <x v="1"/>
    <x v="0"/>
    <s v="San Francisco"/>
    <x v="7"/>
    <n v="94122"/>
    <x v="1"/>
    <s v="OFF-AR-10001545"/>
    <x v="0"/>
    <x v="3"/>
    <x v="255"/>
    <n v="7.04"/>
    <x v="6"/>
    <x v="0"/>
    <n v="2.0415999999999999"/>
    <x v="3"/>
    <x v="5"/>
    <x v="5"/>
  </r>
  <r>
    <n v="1456"/>
    <s v="CA-2017-148474"/>
    <x v="194"/>
    <d v="2017-06-19T00:00:00"/>
    <x v="1"/>
    <s v="ME-17320"/>
    <s v="Maria Etezadi"/>
    <x v="1"/>
    <x v="0"/>
    <s v="Columbus"/>
    <x v="4"/>
    <n v="31907"/>
    <x v="0"/>
    <s v="OFF-BI-10000977"/>
    <x v="0"/>
    <x v="10"/>
    <x v="256"/>
    <n v="91.2"/>
    <x v="2"/>
    <x v="0"/>
    <n v="41.951999999999998"/>
    <x v="5"/>
    <x v="5"/>
    <x v="5"/>
  </r>
  <r>
    <n v="2501"/>
    <s v="CA-2017-131618"/>
    <x v="198"/>
    <d v="2017-06-20T00:00:00"/>
    <x v="2"/>
    <s v="LS-17200"/>
    <s v="Luke Schmidt"/>
    <x v="0"/>
    <x v="0"/>
    <s v="Skokie"/>
    <x v="5"/>
    <n v="60076"/>
    <x v="3"/>
    <s v="OFF-PA-10001892"/>
    <x v="0"/>
    <x v="9"/>
    <x v="257"/>
    <n v="12.224"/>
    <x v="0"/>
    <x v="1"/>
    <n v="4.4311999999999996"/>
    <x v="3"/>
    <x v="5"/>
    <x v="5"/>
  </r>
  <r>
    <n v="1270"/>
    <s v="CA-2017-100426"/>
    <x v="221"/>
    <d v="2017-06-08T00:00:00"/>
    <x v="1"/>
    <s v="DC-12850"/>
    <s v="Dan Campbell"/>
    <x v="2"/>
    <x v="0"/>
    <s v="Florence"/>
    <x v="6"/>
    <n v="35630"/>
    <x v="0"/>
    <s v="OFF-PA-10002870"/>
    <x v="0"/>
    <x v="9"/>
    <x v="258"/>
    <n v="12.48"/>
    <x v="0"/>
    <x v="0"/>
    <n v="5.6159999999999997"/>
    <x v="2"/>
    <x v="5"/>
    <x v="5"/>
  </r>
  <r>
    <n v="1593"/>
    <s v="CA-2015-122826"/>
    <x v="222"/>
    <d v="2015-06-25T00:00:00"/>
    <x v="0"/>
    <s v="RD-19480"/>
    <s v="Rick Duston"/>
    <x v="2"/>
    <x v="0"/>
    <s v="Olympia"/>
    <x v="2"/>
    <n v="98502"/>
    <x v="1"/>
    <s v="TEC-PH-10004830"/>
    <x v="1"/>
    <x v="7"/>
    <x v="259"/>
    <n v="201.56800000000001"/>
    <x v="6"/>
    <x v="1"/>
    <n v="22.676400000000001"/>
    <x v="0"/>
    <x v="5"/>
    <x v="5"/>
  </r>
  <r>
    <n v="4820"/>
    <s v="CA-2017-117436"/>
    <x v="202"/>
    <d v="2017-06-14T00:00:00"/>
    <x v="1"/>
    <s v="LW-17125"/>
    <s v="Liz Willingham"/>
    <x v="2"/>
    <x v="0"/>
    <s v="Norwich"/>
    <x v="25"/>
    <n v="6360"/>
    <x v="2"/>
    <s v="OFF-BI-10004040"/>
    <x v="0"/>
    <x v="10"/>
    <x v="260"/>
    <n v="10.36"/>
    <x v="0"/>
    <x v="0"/>
    <n v="5.0763999999999996"/>
    <x v="4"/>
    <x v="5"/>
    <x v="5"/>
  </r>
  <r>
    <n v="4769"/>
    <s v="CA-2017-158883"/>
    <x v="191"/>
    <d v="2017-06-03T00:00:00"/>
    <x v="3"/>
    <s v="CS-11860"/>
    <s v="Cari Schnelling"/>
    <x v="2"/>
    <x v="0"/>
    <s v="Jacksonville"/>
    <x v="8"/>
    <n v="28540"/>
    <x v="0"/>
    <s v="OFF-PA-10004733"/>
    <x v="0"/>
    <x v="9"/>
    <x v="261"/>
    <n v="25.344000000000001"/>
    <x v="6"/>
    <x v="1"/>
    <n v="9.1872000000000007"/>
    <x v="7"/>
    <x v="5"/>
    <x v="5"/>
  </r>
  <r>
    <n v="4722"/>
    <s v="CA-2014-106229"/>
    <x v="218"/>
    <d v="2014-06-11T00:00:00"/>
    <x v="0"/>
    <s v="NR-18550"/>
    <s v="Nick Radford"/>
    <x v="2"/>
    <x v="0"/>
    <s v="Aurora"/>
    <x v="5"/>
    <n v="60505"/>
    <x v="3"/>
    <s v="FUR-TA-10002041"/>
    <x v="2"/>
    <x v="6"/>
    <x v="262"/>
    <n v="268.935"/>
    <x v="2"/>
    <x v="3"/>
    <n v="-209.76929999999999"/>
    <x v="2"/>
    <x v="5"/>
    <x v="5"/>
  </r>
  <r>
    <n v="2496"/>
    <s v="CA-2014-136644"/>
    <x v="223"/>
    <d v="2014-06-22T00:00:00"/>
    <x v="1"/>
    <s v="SC-20575"/>
    <s v="Sonia Cooley"/>
    <x v="2"/>
    <x v="0"/>
    <s v="Mishawaka"/>
    <x v="29"/>
    <n v="46544"/>
    <x v="3"/>
    <s v="FUR-CH-10000225"/>
    <x v="2"/>
    <x v="13"/>
    <x v="47"/>
    <n v="647.84"/>
    <x v="5"/>
    <x v="0"/>
    <n v="32.392000000000003"/>
    <x v="4"/>
    <x v="5"/>
    <x v="5"/>
  </r>
  <r>
    <n v="1621"/>
    <s v="CA-2017-108560"/>
    <x v="224"/>
    <d v="2017-07-15T00:00:00"/>
    <x v="1"/>
    <s v="JC-15385"/>
    <s v="Jenna Caffey"/>
    <x v="2"/>
    <x v="0"/>
    <s v="Kent"/>
    <x v="2"/>
    <n v="98031"/>
    <x v="1"/>
    <s v="FUR-FU-10002937"/>
    <x v="2"/>
    <x v="5"/>
    <x v="263"/>
    <n v="198.46"/>
    <x v="0"/>
    <x v="0"/>
    <n v="99.23"/>
    <x v="5"/>
    <x v="6"/>
    <x v="6"/>
  </r>
  <r>
    <n v="2187"/>
    <s v="CA-2016-101378"/>
    <x v="225"/>
    <d v="2016-07-14T00:00:00"/>
    <x v="3"/>
    <s v="RH-19600"/>
    <s v="Rob Haberlin"/>
    <x v="2"/>
    <x v="0"/>
    <s v="Huntsville"/>
    <x v="6"/>
    <n v="35810"/>
    <x v="0"/>
    <s v="TEC-AC-10002345"/>
    <x v="1"/>
    <x v="4"/>
    <x v="264"/>
    <n v="29"/>
    <x v="0"/>
    <x v="0"/>
    <n v="7.25"/>
    <x v="6"/>
    <x v="6"/>
    <x v="6"/>
  </r>
  <r>
    <n v="1221"/>
    <s v="CA-2014-110184"/>
    <x v="226"/>
    <d v="2014-07-16T00:00:00"/>
    <x v="1"/>
    <s v="BF-11170"/>
    <s v="Ben Ferrer"/>
    <x v="1"/>
    <x v="0"/>
    <s v="Los Angeles"/>
    <x v="7"/>
    <n v="90036"/>
    <x v="1"/>
    <s v="OFF-ST-10000107"/>
    <x v="0"/>
    <x v="2"/>
    <x v="194"/>
    <n v="249.75"/>
    <x v="8"/>
    <x v="0"/>
    <n v="44.954999999999998"/>
    <x v="2"/>
    <x v="6"/>
    <x v="6"/>
  </r>
  <r>
    <n v="2219"/>
    <s v="CA-2017-130841"/>
    <x v="227"/>
    <d v="2017-08-01T00:00:00"/>
    <x v="1"/>
    <s v="MH-17620"/>
    <s v="Matt Hagelstein"/>
    <x v="0"/>
    <x v="0"/>
    <s v="San Francisco"/>
    <x v="7"/>
    <n v="94110"/>
    <x v="1"/>
    <s v="OFF-BI-10000145"/>
    <x v="0"/>
    <x v="10"/>
    <x v="265"/>
    <n v="9.984"/>
    <x v="6"/>
    <x v="1"/>
    <n v="3.6192000000000002"/>
    <x v="2"/>
    <x v="6"/>
    <x v="6"/>
  </r>
  <r>
    <n v="2091"/>
    <s v="CA-2017-166142"/>
    <x v="228"/>
    <d v="2017-07-19T00:00:00"/>
    <x v="1"/>
    <s v="MM-17260"/>
    <s v="Magdelene Morse"/>
    <x v="2"/>
    <x v="0"/>
    <s v="Wilmington"/>
    <x v="14"/>
    <n v="19805"/>
    <x v="2"/>
    <s v="OFF-BI-10004094"/>
    <x v="0"/>
    <x v="10"/>
    <x v="266"/>
    <n v="26.55"/>
    <x v="2"/>
    <x v="0"/>
    <n v="13.009499999999999"/>
    <x v="2"/>
    <x v="6"/>
    <x v="6"/>
  </r>
  <r>
    <n v="2103"/>
    <s v="CA-2014-123295"/>
    <x v="229"/>
    <d v="2014-07-18T00:00:00"/>
    <x v="3"/>
    <s v="AH-10120"/>
    <s v="Adrian Hane"/>
    <x v="1"/>
    <x v="0"/>
    <s v="Tucson"/>
    <x v="19"/>
    <n v="85705"/>
    <x v="1"/>
    <s v="FUR-CH-10002372"/>
    <x v="2"/>
    <x v="13"/>
    <x v="267"/>
    <n v="259.13600000000002"/>
    <x v="6"/>
    <x v="1"/>
    <n v="-25.913599999999999"/>
    <x v="6"/>
    <x v="6"/>
    <x v="6"/>
  </r>
  <r>
    <n v="1017"/>
    <s v="CA-2015-108665"/>
    <x v="230"/>
    <d v="2015-07-10T00:00:00"/>
    <x v="1"/>
    <s v="KM-16225"/>
    <s v="Kalyca Meade"/>
    <x v="0"/>
    <x v="0"/>
    <s v="New York City"/>
    <x v="20"/>
    <n v="10011"/>
    <x v="2"/>
    <s v="FUR-FU-10002191"/>
    <x v="2"/>
    <x v="5"/>
    <x v="268"/>
    <n v="13.96"/>
    <x v="0"/>
    <x v="0"/>
    <n v="6.7008000000000001"/>
    <x v="2"/>
    <x v="6"/>
    <x v="6"/>
  </r>
  <r>
    <n v="2461"/>
    <s v="CA-2015-142419"/>
    <x v="231"/>
    <d v="2015-07-13T00:00:00"/>
    <x v="0"/>
    <s v="SC-20380"/>
    <s v="Shahid Collister"/>
    <x v="2"/>
    <x v="0"/>
    <s v="Seattle"/>
    <x v="2"/>
    <n v="98115"/>
    <x v="1"/>
    <s v="OFF-PA-10001763"/>
    <x v="0"/>
    <x v="9"/>
    <x v="269"/>
    <n v="29.97"/>
    <x v="2"/>
    <x v="0"/>
    <n v="13.486499999999999"/>
    <x v="0"/>
    <x v="6"/>
    <x v="6"/>
  </r>
  <r>
    <n v="2807"/>
    <s v="CA-2015-148635"/>
    <x v="232"/>
    <d v="2015-07-27T00:00:00"/>
    <x v="0"/>
    <s v="MH-18025"/>
    <s v="Michelle Huthwaite"/>
    <x v="2"/>
    <x v="0"/>
    <s v="Seattle"/>
    <x v="2"/>
    <n v="98115"/>
    <x v="1"/>
    <s v="OFF-FA-10004395"/>
    <x v="0"/>
    <x v="12"/>
    <x v="270"/>
    <n v="9.42"/>
    <x v="0"/>
    <x v="0"/>
    <n v="0.47099999999999997"/>
    <x v="0"/>
    <x v="6"/>
    <x v="6"/>
  </r>
  <r>
    <n v="2314"/>
    <s v="CA-2017-122035"/>
    <x v="233"/>
    <d v="2017-07-25T00:00:00"/>
    <x v="1"/>
    <s v="EM-13825"/>
    <s v="Elizabeth Moffitt"/>
    <x v="0"/>
    <x v="0"/>
    <s v="Sioux Falls"/>
    <x v="36"/>
    <n v="57103"/>
    <x v="3"/>
    <s v="OFF-LA-10004093"/>
    <x v="0"/>
    <x v="1"/>
    <x v="271"/>
    <n v="14.62"/>
    <x v="0"/>
    <x v="0"/>
    <n v="6.8714000000000004"/>
    <x v="1"/>
    <x v="6"/>
    <x v="6"/>
  </r>
  <r>
    <n v="373"/>
    <s v="US-2014-119137"/>
    <x v="234"/>
    <d v="2014-07-27T00:00:00"/>
    <x v="1"/>
    <s v="AG-10900"/>
    <s v="Arthur Gainer"/>
    <x v="2"/>
    <x v="0"/>
    <s v="Tucson"/>
    <x v="19"/>
    <n v="85705"/>
    <x v="1"/>
    <s v="OFF-BI-10001982"/>
    <x v="0"/>
    <x v="10"/>
    <x v="272"/>
    <n v="8.16"/>
    <x v="3"/>
    <x v="7"/>
    <n v="-5.7119999999999997"/>
    <x v="2"/>
    <x v="6"/>
    <x v="6"/>
  </r>
  <r>
    <n v="2071"/>
    <s v="CA-2016-146521"/>
    <x v="235"/>
    <d v="2016-07-23T00:00:00"/>
    <x v="0"/>
    <s v="CC-12610"/>
    <s v="Corey Catlett"/>
    <x v="0"/>
    <x v="0"/>
    <s v="Philadelphia"/>
    <x v="31"/>
    <n v="19134"/>
    <x v="2"/>
    <s v="OFF-BI-10000301"/>
    <x v="0"/>
    <x v="10"/>
    <x v="273"/>
    <n v="1.9410000000000001"/>
    <x v="1"/>
    <x v="7"/>
    <n v="-1.294"/>
    <x v="0"/>
    <x v="6"/>
    <x v="6"/>
  </r>
  <r>
    <n v="1394"/>
    <s v="CA-2017-124828"/>
    <x v="236"/>
    <d v="2017-07-04T00:00:00"/>
    <x v="2"/>
    <s v="YS-21880"/>
    <s v="Yana Sorensen"/>
    <x v="0"/>
    <x v="0"/>
    <s v="Burlington"/>
    <x v="8"/>
    <n v="27217"/>
    <x v="0"/>
    <s v="OFF-AR-10003514"/>
    <x v="0"/>
    <x v="3"/>
    <x v="274"/>
    <n v="9.5519999999999996"/>
    <x v="2"/>
    <x v="1"/>
    <n v="1.5522"/>
    <x v="7"/>
    <x v="6"/>
    <x v="6"/>
  </r>
  <r>
    <n v="2927"/>
    <s v="CA-2017-128629"/>
    <x v="237"/>
    <d v="2017-07-14T00:00:00"/>
    <x v="0"/>
    <s v="BP-11155"/>
    <s v="Becky Pak"/>
    <x v="2"/>
    <x v="0"/>
    <s v="Columbus"/>
    <x v="4"/>
    <n v="31907"/>
    <x v="0"/>
    <s v="FUR-FU-10000771"/>
    <x v="2"/>
    <x v="5"/>
    <x v="275"/>
    <n v="18.84"/>
    <x v="2"/>
    <x v="0"/>
    <n v="7.9127999999999998"/>
    <x v="2"/>
    <x v="6"/>
    <x v="6"/>
  </r>
  <r>
    <n v="1044"/>
    <s v="CA-2017-115651"/>
    <x v="238"/>
    <d v="2017-07-12T00:00:00"/>
    <x v="2"/>
    <s v="NS-18640"/>
    <s v="Noel Staavos"/>
    <x v="0"/>
    <x v="0"/>
    <s v="Chicago"/>
    <x v="5"/>
    <n v="60610"/>
    <x v="3"/>
    <s v="OFF-AR-10001130"/>
    <x v="0"/>
    <x v="3"/>
    <x v="276"/>
    <n v="8.84"/>
    <x v="3"/>
    <x v="1"/>
    <n v="2.9834999999999998"/>
    <x v="3"/>
    <x v="6"/>
    <x v="6"/>
  </r>
  <r>
    <n v="642"/>
    <s v="CA-2017-167913"/>
    <x v="239"/>
    <d v="2017-08-03T00:00:00"/>
    <x v="0"/>
    <s v="JL-15835"/>
    <s v="John Lee"/>
    <x v="2"/>
    <x v="0"/>
    <s v="Mission Viejo"/>
    <x v="7"/>
    <n v="92691"/>
    <x v="1"/>
    <s v="OFF-ST-10000585"/>
    <x v="0"/>
    <x v="2"/>
    <x v="277"/>
    <n v="330.4"/>
    <x v="0"/>
    <x v="0"/>
    <n v="85.903999999999996"/>
    <x v="2"/>
    <x v="6"/>
    <x v="6"/>
  </r>
  <r>
    <n v="1451"/>
    <s v="US-2015-160150"/>
    <x v="240"/>
    <d v="2015-07-20T00:00:00"/>
    <x v="2"/>
    <s v="TS-21085"/>
    <s v="Thais Sissman"/>
    <x v="2"/>
    <x v="0"/>
    <s v="Phoenix"/>
    <x v="19"/>
    <n v="85023"/>
    <x v="1"/>
    <s v="OFF-BI-10004352"/>
    <x v="0"/>
    <x v="10"/>
    <x v="278"/>
    <n v="2.0249999999999999"/>
    <x v="1"/>
    <x v="7"/>
    <n v="-1.35"/>
    <x v="7"/>
    <x v="6"/>
    <x v="6"/>
  </r>
  <r>
    <n v="1842"/>
    <s v="CA-2016-157763"/>
    <x v="241"/>
    <d v="2016-07-23T00:00:00"/>
    <x v="1"/>
    <s v="KH-16330"/>
    <s v="Katharine Harms"/>
    <x v="0"/>
    <x v="0"/>
    <s v="Bowling Green"/>
    <x v="24"/>
    <n v="42104"/>
    <x v="0"/>
    <s v="FUR-CH-10000988"/>
    <x v="2"/>
    <x v="13"/>
    <x v="279"/>
    <n v="140.81"/>
    <x v="1"/>
    <x v="0"/>
    <n v="39.4268"/>
    <x v="1"/>
    <x v="6"/>
    <x v="6"/>
  </r>
  <r>
    <n v="24"/>
    <s v="US-2017-156909"/>
    <x v="242"/>
    <d v="2017-07-18T00:00:00"/>
    <x v="0"/>
    <s v="SF-20065"/>
    <s v="Sandra Flanagan"/>
    <x v="2"/>
    <x v="0"/>
    <s v="Philadelphia"/>
    <x v="31"/>
    <n v="19140"/>
    <x v="2"/>
    <s v="FUR-CH-10002774"/>
    <x v="2"/>
    <x v="13"/>
    <x v="280"/>
    <n v="71.372"/>
    <x v="0"/>
    <x v="8"/>
    <n v="-1.0196000000000001"/>
    <x v="0"/>
    <x v="6"/>
    <x v="6"/>
  </r>
  <r>
    <n v="1117"/>
    <s v="CA-2016-144855"/>
    <x v="243"/>
    <d v="2016-07-24T00:00:00"/>
    <x v="0"/>
    <s v="DL-13495"/>
    <s v="Dionis Lloyd"/>
    <x v="0"/>
    <x v="0"/>
    <s v="San Francisco"/>
    <x v="7"/>
    <n v="94110"/>
    <x v="1"/>
    <s v="OFF-LA-10003766"/>
    <x v="0"/>
    <x v="1"/>
    <x v="281"/>
    <n v="6.3"/>
    <x v="0"/>
    <x v="0"/>
    <n v="3.024"/>
    <x v="0"/>
    <x v="6"/>
    <x v="6"/>
  </r>
  <r>
    <n v="600"/>
    <s v="US-2016-100720"/>
    <x v="244"/>
    <d v="2016-07-21T00:00:00"/>
    <x v="1"/>
    <s v="CK-12205"/>
    <s v="Chloris Kastensmidt"/>
    <x v="2"/>
    <x v="0"/>
    <s v="Philadelphia"/>
    <x v="31"/>
    <n v="19120"/>
    <x v="2"/>
    <s v="TEC-PH-10001425"/>
    <x v="1"/>
    <x v="7"/>
    <x v="282"/>
    <n v="143.982"/>
    <x v="2"/>
    <x v="5"/>
    <n v="-28.796399999999998"/>
    <x v="1"/>
    <x v="6"/>
    <x v="6"/>
  </r>
  <r>
    <n v="599"/>
    <s v="CA-2016-120180"/>
    <x v="225"/>
    <d v="2016-07-16T00:00:00"/>
    <x v="2"/>
    <s v="TP-21130"/>
    <s v="Theone Pippenger"/>
    <x v="2"/>
    <x v="0"/>
    <s v="Philadelphia"/>
    <x v="31"/>
    <n v="19134"/>
    <x v="2"/>
    <s v="OFF-SU-10004115"/>
    <x v="0"/>
    <x v="16"/>
    <x v="283"/>
    <n v="11.632"/>
    <x v="0"/>
    <x v="1"/>
    <n v="1.0178"/>
    <x v="0"/>
    <x v="6"/>
    <x v="6"/>
  </r>
  <r>
    <n v="1829"/>
    <s v="US-2015-140851"/>
    <x v="245"/>
    <d v="2015-07-15T00:00:00"/>
    <x v="0"/>
    <s v="ND-18460"/>
    <s v="Neil Ducich"/>
    <x v="0"/>
    <x v="0"/>
    <s v="Macon"/>
    <x v="4"/>
    <n v="31204"/>
    <x v="0"/>
    <s v="OFF-PA-10000019"/>
    <x v="0"/>
    <x v="9"/>
    <x v="284"/>
    <n v="38.880000000000003"/>
    <x v="7"/>
    <x v="0"/>
    <n v="18.662400000000002"/>
    <x v="0"/>
    <x v="6"/>
    <x v="6"/>
  </r>
  <r>
    <n v="587"/>
    <s v="CA-2015-128139"/>
    <x v="246"/>
    <d v="2015-07-09T00:00:00"/>
    <x v="1"/>
    <s v="BD-11725"/>
    <s v="Bruce Degenhardt"/>
    <x v="2"/>
    <x v="0"/>
    <s v="Richmond"/>
    <x v="24"/>
    <n v="40475"/>
    <x v="0"/>
    <s v="FUR-CH-10003956"/>
    <x v="2"/>
    <x v="13"/>
    <x v="285"/>
    <n v="70.98"/>
    <x v="1"/>
    <x v="0"/>
    <n v="4.9686000000000003"/>
    <x v="4"/>
    <x v="6"/>
    <x v="6"/>
  </r>
  <r>
    <n v="579"/>
    <s v="CA-2017-118640"/>
    <x v="233"/>
    <d v="2017-07-26T00:00:00"/>
    <x v="1"/>
    <s v="CS-11950"/>
    <s v="Carlos Soltero"/>
    <x v="2"/>
    <x v="0"/>
    <s v="Chicago"/>
    <x v="5"/>
    <n v="60610"/>
    <x v="3"/>
    <s v="OFF-ST-10002974"/>
    <x v="0"/>
    <x v="2"/>
    <x v="286"/>
    <n v="69.712000000000003"/>
    <x v="0"/>
    <x v="1"/>
    <n v="8.7140000000000004"/>
    <x v="4"/>
    <x v="6"/>
    <x v="6"/>
  </r>
  <r>
    <n v="188"/>
    <s v="CA-2016-157000"/>
    <x v="244"/>
    <d v="2016-07-22T00:00:00"/>
    <x v="1"/>
    <s v="AM-10360"/>
    <s v="Alice McCarthy"/>
    <x v="0"/>
    <x v="0"/>
    <s v="Grand Prairie"/>
    <x v="11"/>
    <n v="75051"/>
    <x v="3"/>
    <s v="OFF-ST-10001328"/>
    <x v="0"/>
    <x v="2"/>
    <x v="287"/>
    <n v="37.223999999999997"/>
    <x v="2"/>
    <x v="1"/>
    <n v="3.7223999999999999"/>
    <x v="4"/>
    <x v="6"/>
    <x v="6"/>
  </r>
  <r>
    <n v="6498"/>
    <s v="CA-2015-103135"/>
    <x v="247"/>
    <d v="2015-07-28T00:00:00"/>
    <x v="1"/>
    <s v="SS-20515"/>
    <s v="Shirley Schmidt"/>
    <x v="1"/>
    <x v="0"/>
    <s v="Louisville"/>
    <x v="24"/>
    <n v="40214"/>
    <x v="0"/>
    <s v="FUR-FU-10001487"/>
    <x v="2"/>
    <x v="5"/>
    <x v="246"/>
    <n v="20.94"/>
    <x v="2"/>
    <x v="0"/>
    <n v="6.0726000000000004"/>
    <x v="2"/>
    <x v="6"/>
    <x v="6"/>
  </r>
  <r>
    <n v="338"/>
    <s v="CA-2014-129924"/>
    <x v="226"/>
    <d v="2014-07-17T00:00:00"/>
    <x v="1"/>
    <s v="AC-10420"/>
    <s v="Alyssa Crouse"/>
    <x v="0"/>
    <x v="0"/>
    <s v="San Francisco"/>
    <x v="7"/>
    <n v="94122"/>
    <x v="1"/>
    <s v="OFF-BI-10003314"/>
    <x v="0"/>
    <x v="10"/>
    <x v="288"/>
    <n v="7.7119999999999997"/>
    <x v="0"/>
    <x v="1"/>
    <n v="2.7955999999999999"/>
    <x v="1"/>
    <x v="6"/>
    <x v="6"/>
  </r>
  <r>
    <n v="1369"/>
    <s v="CA-2017-133249"/>
    <x v="224"/>
    <d v="2017-07-11T00:00:00"/>
    <x v="2"/>
    <s v="SZ-20035"/>
    <s v="Sam Zeldin"/>
    <x v="1"/>
    <x v="0"/>
    <s v="Pico Rivera"/>
    <x v="7"/>
    <n v="90660"/>
    <x v="1"/>
    <s v="FUR-FU-10001588"/>
    <x v="2"/>
    <x v="5"/>
    <x v="289"/>
    <n v="145.9"/>
    <x v="3"/>
    <x v="0"/>
    <n v="62.737000000000002"/>
    <x v="3"/>
    <x v="6"/>
    <x v="6"/>
  </r>
  <r>
    <n v="6957"/>
    <s v="CA-2016-157588"/>
    <x v="225"/>
    <d v="2016-07-19T00:00:00"/>
    <x v="1"/>
    <s v="AR-10570"/>
    <s v="Anemone Ratner"/>
    <x v="2"/>
    <x v="0"/>
    <s v="Columbus"/>
    <x v="4"/>
    <n v="31907"/>
    <x v="0"/>
    <s v="OFF-BI-10003963"/>
    <x v="0"/>
    <x v="10"/>
    <x v="290"/>
    <n v="36.4"/>
    <x v="3"/>
    <x v="0"/>
    <n v="17.108000000000001"/>
    <x v="1"/>
    <x v="6"/>
    <x v="6"/>
  </r>
  <r>
    <n v="536"/>
    <s v="CA-2016-126613"/>
    <x v="248"/>
    <d v="2016-07-16T00:00:00"/>
    <x v="1"/>
    <s v="AA-10375"/>
    <s v="Allen Armold"/>
    <x v="2"/>
    <x v="0"/>
    <s v="Mesa"/>
    <x v="19"/>
    <n v="85204"/>
    <x v="1"/>
    <s v="OFF-ST-10001325"/>
    <x v="0"/>
    <x v="2"/>
    <x v="291"/>
    <n v="16.768000000000001"/>
    <x v="0"/>
    <x v="1"/>
    <n v="1.4672000000000001"/>
    <x v="4"/>
    <x v="6"/>
    <x v="6"/>
  </r>
  <r>
    <n v="4237"/>
    <s v="CA-2016-162404"/>
    <x v="249"/>
    <d v="2016-07-27T00:00:00"/>
    <x v="1"/>
    <s v="NF-18475"/>
    <s v="Neil Französisch"/>
    <x v="1"/>
    <x v="0"/>
    <s v="Rockford"/>
    <x v="5"/>
    <n v="61107"/>
    <x v="3"/>
    <s v="OFF-BI-10000948"/>
    <x v="0"/>
    <x v="10"/>
    <x v="292"/>
    <n v="11.416"/>
    <x v="6"/>
    <x v="6"/>
    <n v="-18.836400000000001"/>
    <x v="2"/>
    <x v="6"/>
    <x v="6"/>
  </r>
  <r>
    <n v="1871"/>
    <s v="CA-2014-116932"/>
    <x v="250"/>
    <d v="2014-07-25T00:00:00"/>
    <x v="1"/>
    <s v="ME-18010"/>
    <s v="Michelle Ellison"/>
    <x v="0"/>
    <x v="0"/>
    <s v="San Francisco"/>
    <x v="7"/>
    <n v="94122"/>
    <x v="1"/>
    <s v="OFF-AR-10002067"/>
    <x v="0"/>
    <x v="3"/>
    <x v="293"/>
    <n v="99.2"/>
    <x v="3"/>
    <x v="0"/>
    <n v="25.792000000000002"/>
    <x v="2"/>
    <x v="6"/>
    <x v="6"/>
  </r>
  <r>
    <n v="1845"/>
    <s v="US-2017-113852"/>
    <x v="251"/>
    <d v="2017-08-02T00:00:00"/>
    <x v="1"/>
    <s v="GW-14605"/>
    <s v="Giulietta Weimer"/>
    <x v="2"/>
    <x v="0"/>
    <s v="Seattle"/>
    <x v="2"/>
    <n v="98115"/>
    <x v="1"/>
    <s v="TEC-AC-10003027"/>
    <x v="1"/>
    <x v="4"/>
    <x v="16"/>
    <n v="90.57"/>
    <x v="2"/>
    <x v="0"/>
    <n v="11.774100000000001"/>
    <x v="2"/>
    <x v="6"/>
    <x v="6"/>
  </r>
  <r>
    <n v="2207"/>
    <s v="US-2014-103905"/>
    <x v="252"/>
    <d v="2014-07-20T00:00:00"/>
    <x v="1"/>
    <s v="AW-10930"/>
    <s v="Arthur Wiediger"/>
    <x v="1"/>
    <x v="0"/>
    <s v="Aurora"/>
    <x v="5"/>
    <n v="60505"/>
    <x v="3"/>
    <s v="OFF-BI-10001098"/>
    <x v="0"/>
    <x v="10"/>
    <x v="294"/>
    <n v="29.931999999999999"/>
    <x v="4"/>
    <x v="6"/>
    <n v="-46.394599999999997"/>
    <x v="4"/>
    <x v="6"/>
    <x v="6"/>
  </r>
  <r>
    <n v="1207"/>
    <s v="CA-2016-137050"/>
    <x v="225"/>
    <d v="2016-07-18T00:00:00"/>
    <x v="0"/>
    <s v="SW-20755"/>
    <s v="Steven Ward"/>
    <x v="0"/>
    <x v="0"/>
    <s v="New York City"/>
    <x v="20"/>
    <n v="10009"/>
    <x v="2"/>
    <s v="OFF-ST-10004634"/>
    <x v="0"/>
    <x v="2"/>
    <x v="295"/>
    <n v="11.21"/>
    <x v="1"/>
    <x v="0"/>
    <n v="3.363"/>
    <x v="2"/>
    <x v="6"/>
    <x v="6"/>
  </r>
  <r>
    <n v="199"/>
    <s v="US-2017-124303"/>
    <x v="253"/>
    <d v="2017-07-13T00:00:00"/>
    <x v="1"/>
    <s v="FH-14365"/>
    <s v="Fred Hopkins"/>
    <x v="0"/>
    <x v="0"/>
    <s v="Philadelphia"/>
    <x v="31"/>
    <n v="19120"/>
    <x v="2"/>
    <s v="OFF-BI-10000343"/>
    <x v="0"/>
    <x v="10"/>
    <x v="296"/>
    <n v="2.9460000000000002"/>
    <x v="0"/>
    <x v="7"/>
    <n v="-2.2585999999999999"/>
    <x v="5"/>
    <x v="6"/>
    <x v="6"/>
  </r>
  <r>
    <n v="347"/>
    <s v="CA-2017-134306"/>
    <x v="224"/>
    <d v="2017-07-12T00:00:00"/>
    <x v="1"/>
    <s v="TD-20995"/>
    <s v="Tamara Dahlen"/>
    <x v="2"/>
    <x v="0"/>
    <s v="Lowell"/>
    <x v="37"/>
    <n v="1852"/>
    <x v="2"/>
    <s v="OFF-AR-10004027"/>
    <x v="0"/>
    <x v="3"/>
    <x v="297"/>
    <n v="7.56"/>
    <x v="2"/>
    <x v="0"/>
    <n v="3.0996000000000001"/>
    <x v="2"/>
    <x v="6"/>
    <x v="6"/>
  </r>
  <r>
    <n v="1923"/>
    <s v="CA-2016-156685"/>
    <x v="254"/>
    <d v="2016-07-10T00:00:00"/>
    <x v="0"/>
    <s v="SC-20230"/>
    <s v="Scot Coram"/>
    <x v="0"/>
    <x v="0"/>
    <s v="Arlington"/>
    <x v="11"/>
    <n v="76017"/>
    <x v="3"/>
    <s v="TEC-PH-10004345"/>
    <x v="1"/>
    <x v="7"/>
    <x v="298"/>
    <n v="863.64"/>
    <x v="8"/>
    <x v="1"/>
    <n v="107.955"/>
    <x v="0"/>
    <x v="6"/>
    <x v="6"/>
  </r>
  <r>
    <n v="759"/>
    <s v="CA-2017-117240"/>
    <x v="255"/>
    <d v="2017-07-28T00:00:00"/>
    <x v="1"/>
    <s v="CP-12340"/>
    <s v="Christine Phan"/>
    <x v="0"/>
    <x v="0"/>
    <s v="New York City"/>
    <x v="20"/>
    <n v="10009"/>
    <x v="2"/>
    <s v="OFF-BI-10000848"/>
    <x v="0"/>
    <x v="10"/>
    <x v="161"/>
    <n v="13.128"/>
    <x v="2"/>
    <x v="1"/>
    <n v="4.2666000000000004"/>
    <x v="1"/>
    <x v="6"/>
    <x v="6"/>
  </r>
  <r>
    <n v="3445"/>
    <s v="CA-2016-116344"/>
    <x v="256"/>
    <d v="2016-08-02T00:00:00"/>
    <x v="1"/>
    <s v="JO-15145"/>
    <s v="Jack O'Briant"/>
    <x v="0"/>
    <x v="0"/>
    <s v="Philadelphia"/>
    <x v="31"/>
    <n v="19140"/>
    <x v="2"/>
    <s v="OFF-ST-10001713"/>
    <x v="0"/>
    <x v="2"/>
    <x v="299"/>
    <n v="84.784000000000006"/>
    <x v="0"/>
    <x v="1"/>
    <n v="-16.956800000000001"/>
    <x v="2"/>
    <x v="6"/>
    <x v="6"/>
  </r>
  <r>
    <n v="2046"/>
    <s v="CA-2016-131835"/>
    <x v="257"/>
    <d v="2016-07-21T00:00:00"/>
    <x v="1"/>
    <s v="MC-17590"/>
    <s v="Matt Collister"/>
    <x v="0"/>
    <x v="0"/>
    <s v="Perth Amboy"/>
    <x v="18"/>
    <n v="8861"/>
    <x v="2"/>
    <s v="OFF-AP-10004487"/>
    <x v="0"/>
    <x v="14"/>
    <x v="173"/>
    <n v="162.63999999999999"/>
    <x v="0"/>
    <x v="0"/>
    <n v="45.539200000000001"/>
    <x v="2"/>
    <x v="6"/>
    <x v="6"/>
  </r>
  <r>
    <n v="725"/>
    <s v="CA-2016-114713"/>
    <x v="258"/>
    <d v="2016-07-12T00:00:00"/>
    <x v="1"/>
    <s v="SC-20695"/>
    <s v="Steve Chapman"/>
    <x v="0"/>
    <x v="0"/>
    <s v="Hialeah"/>
    <x v="22"/>
    <n v="33012"/>
    <x v="0"/>
    <s v="OFF-SU-10004664"/>
    <x v="0"/>
    <x v="16"/>
    <x v="300"/>
    <n v="45.584000000000003"/>
    <x v="4"/>
    <x v="1"/>
    <n v="5.1281999999999996"/>
    <x v="1"/>
    <x v="6"/>
    <x v="6"/>
  </r>
  <r>
    <n v="1319"/>
    <s v="CA-2014-160773"/>
    <x v="259"/>
    <d v="2014-07-05T00:00:00"/>
    <x v="1"/>
    <s v="LW-16825"/>
    <s v="Laurel Workman"/>
    <x v="0"/>
    <x v="0"/>
    <s v="Deltona"/>
    <x v="22"/>
    <n v="32725"/>
    <x v="0"/>
    <s v="TEC-PH-10004586"/>
    <x v="1"/>
    <x v="7"/>
    <x v="301"/>
    <n v="575.91999999999996"/>
    <x v="0"/>
    <x v="1"/>
    <n v="71.989999999999995"/>
    <x v="2"/>
    <x v="6"/>
    <x v="6"/>
  </r>
  <r>
    <n v="1304"/>
    <s v="US-2017-126179"/>
    <x v="236"/>
    <d v="2017-07-07T00:00:00"/>
    <x v="1"/>
    <s v="CS-12460"/>
    <s v="Chuck Sachs"/>
    <x v="2"/>
    <x v="0"/>
    <s v="Columbus"/>
    <x v="4"/>
    <n v="31907"/>
    <x v="0"/>
    <s v="FUR-FU-10002554"/>
    <x v="2"/>
    <x v="5"/>
    <x v="302"/>
    <n v="23.99"/>
    <x v="1"/>
    <x v="0"/>
    <n v="5.5176999999999996"/>
    <x v="2"/>
    <x v="6"/>
    <x v="6"/>
  </r>
  <r>
    <n v="483"/>
    <s v="CA-2014-127691"/>
    <x v="260"/>
    <d v="2014-07-27T00:00:00"/>
    <x v="1"/>
    <s v="EM-14065"/>
    <s v="Erin Mull"/>
    <x v="2"/>
    <x v="0"/>
    <s v="New York City"/>
    <x v="20"/>
    <n v="10024"/>
    <x v="2"/>
    <s v="OFF-AR-10002053"/>
    <x v="0"/>
    <x v="3"/>
    <x v="303"/>
    <n v="5.96"/>
    <x v="0"/>
    <x v="0"/>
    <n v="1.6688000000000001"/>
    <x v="1"/>
    <x v="6"/>
    <x v="6"/>
  </r>
  <r>
    <n v="1473"/>
    <s v="CA-2017-164959"/>
    <x v="261"/>
    <d v="2017-07-15T00:00:00"/>
    <x v="1"/>
    <s v="KN-16390"/>
    <s v="Katherine Nockton"/>
    <x v="0"/>
    <x v="0"/>
    <s v="Los Angeles"/>
    <x v="7"/>
    <n v="90004"/>
    <x v="1"/>
    <s v="OFF-LA-10004272"/>
    <x v="0"/>
    <x v="1"/>
    <x v="1"/>
    <n v="8.67"/>
    <x v="2"/>
    <x v="0"/>
    <n v="4.0749000000000004"/>
    <x v="2"/>
    <x v="6"/>
    <x v="6"/>
  </r>
  <r>
    <n v="1051"/>
    <s v="US-2015-153500"/>
    <x v="246"/>
    <d v="2015-07-05T00:00:00"/>
    <x v="2"/>
    <s v="DG-13300"/>
    <s v="Deirdre Greer"/>
    <x v="0"/>
    <x v="0"/>
    <s v="Philadelphia"/>
    <x v="31"/>
    <n v="19134"/>
    <x v="2"/>
    <s v="FUR-FU-10000293"/>
    <x v="2"/>
    <x v="5"/>
    <x v="244"/>
    <n v="168.464"/>
    <x v="0"/>
    <x v="1"/>
    <n v="-29.481200000000001"/>
    <x v="0"/>
    <x v="6"/>
    <x v="6"/>
  </r>
  <r>
    <n v="686"/>
    <s v="CA-2014-157784"/>
    <x v="262"/>
    <d v="2014-07-08T00:00:00"/>
    <x v="2"/>
    <s v="MC-17845"/>
    <s v="Michael Chen"/>
    <x v="2"/>
    <x v="0"/>
    <s v="Jackson"/>
    <x v="34"/>
    <n v="39212"/>
    <x v="0"/>
    <s v="TEC-AC-10003911"/>
    <x v="1"/>
    <x v="4"/>
    <x v="304"/>
    <n v="479.97"/>
    <x v="2"/>
    <x v="0"/>
    <n v="163.18979999999999"/>
    <x v="3"/>
    <x v="6"/>
    <x v="6"/>
  </r>
  <r>
    <n v="43"/>
    <s v="CA-2016-101343"/>
    <x v="257"/>
    <d v="2016-07-22T00:00:00"/>
    <x v="1"/>
    <s v="RA-19885"/>
    <s v="Ruben Ausman"/>
    <x v="0"/>
    <x v="0"/>
    <s v="Los Angeles"/>
    <x v="7"/>
    <n v="90049"/>
    <x v="1"/>
    <s v="OFF-ST-10003479"/>
    <x v="0"/>
    <x v="2"/>
    <x v="305"/>
    <n v="77.88"/>
    <x v="0"/>
    <x v="0"/>
    <n v="3.8940000000000001"/>
    <x v="1"/>
    <x v="6"/>
    <x v="6"/>
  </r>
  <r>
    <n v="1938"/>
    <s v="CA-2016-112109"/>
    <x v="254"/>
    <d v="2016-07-12T00:00:00"/>
    <x v="1"/>
    <s v="JE-15715"/>
    <s v="Joe Elijah"/>
    <x v="2"/>
    <x v="0"/>
    <s v="Broomfield"/>
    <x v="9"/>
    <n v="80020"/>
    <x v="1"/>
    <s v="OFF-BI-10002082"/>
    <x v="0"/>
    <x v="10"/>
    <x v="306"/>
    <n v="19.968"/>
    <x v="0"/>
    <x v="7"/>
    <n v="-13.311999999999999"/>
    <x v="2"/>
    <x v="6"/>
    <x v="6"/>
  </r>
  <r>
    <n v="1987"/>
    <s v="CA-2016-147417"/>
    <x v="263"/>
    <d v="2016-07-27T00:00:00"/>
    <x v="2"/>
    <s v="CB-12415"/>
    <s v="Christy Brittain"/>
    <x v="2"/>
    <x v="0"/>
    <s v="Columbus"/>
    <x v="3"/>
    <n v="43229"/>
    <x v="2"/>
    <s v="TEC-CO-10001449"/>
    <x v="1"/>
    <x v="15"/>
    <x v="307"/>
    <n v="1439.9760000000001"/>
    <x v="6"/>
    <x v="5"/>
    <n v="191.99680000000001"/>
    <x v="0"/>
    <x v="6"/>
    <x v="6"/>
  </r>
  <r>
    <n v="1206"/>
    <s v="CA-2017-133235"/>
    <x v="264"/>
    <d v="2017-08-04T00:00:00"/>
    <x v="2"/>
    <s v="LH-16750"/>
    <s v="Larry Hughes"/>
    <x v="2"/>
    <x v="0"/>
    <s v="Charlotte"/>
    <x v="8"/>
    <n v="28205"/>
    <x v="0"/>
    <s v="TEC-PH-10002660"/>
    <x v="1"/>
    <x v="7"/>
    <x v="163"/>
    <n v="271.95999999999998"/>
    <x v="3"/>
    <x v="1"/>
    <n v="16.997499999999999"/>
    <x v="3"/>
    <x v="7"/>
    <x v="7"/>
  </r>
  <r>
    <n v="1800"/>
    <s v="CA-2016-121034"/>
    <x v="265"/>
    <d v="2016-08-10T00:00:00"/>
    <x v="0"/>
    <s v="JF-15565"/>
    <s v="Jill Fjeld"/>
    <x v="2"/>
    <x v="0"/>
    <s v="Dallas"/>
    <x v="11"/>
    <n v="75081"/>
    <x v="3"/>
    <s v="OFF-FA-10000585"/>
    <x v="0"/>
    <x v="12"/>
    <x v="308"/>
    <n v="11.167999999999999"/>
    <x v="6"/>
    <x v="1"/>
    <n v="3.6295999999999999"/>
    <x v="0"/>
    <x v="7"/>
    <x v="7"/>
  </r>
  <r>
    <n v="1005"/>
    <s v="CA-2015-126445"/>
    <x v="266"/>
    <d v="2015-08-31T00:00:00"/>
    <x v="1"/>
    <s v="RA-19945"/>
    <s v="Ryan Akin"/>
    <x v="2"/>
    <x v="0"/>
    <s v="Murrieta"/>
    <x v="7"/>
    <n v="92563"/>
    <x v="1"/>
    <s v="OFF-ST-10000046"/>
    <x v="0"/>
    <x v="2"/>
    <x v="309"/>
    <n v="484.65"/>
    <x v="2"/>
    <x v="0"/>
    <n v="92.083500000000001"/>
    <x v="2"/>
    <x v="7"/>
    <x v="7"/>
  </r>
  <r>
    <n v="2173"/>
    <s v="CA-2014-152296"/>
    <x v="267"/>
    <d v="2014-08-03T00:00:00"/>
    <x v="2"/>
    <s v="IL-15100"/>
    <s v="Ivan Liston"/>
    <x v="2"/>
    <x v="0"/>
    <s v="San Francisco"/>
    <x v="7"/>
    <n v="94122"/>
    <x v="1"/>
    <s v="OFF-BI-10004506"/>
    <x v="0"/>
    <x v="10"/>
    <x v="310"/>
    <n v="19.751999999999999"/>
    <x v="2"/>
    <x v="1"/>
    <n v="6.9131999999999998"/>
    <x v="0"/>
    <x v="7"/>
    <x v="7"/>
  </r>
  <r>
    <n v="172"/>
    <s v="CA-2014-118962"/>
    <x v="268"/>
    <d v="2014-08-09T00:00:00"/>
    <x v="1"/>
    <s v="CS-12130"/>
    <s v="Chad Sievert"/>
    <x v="2"/>
    <x v="0"/>
    <s v="Los Angeles"/>
    <x v="7"/>
    <n v="90004"/>
    <x v="1"/>
    <s v="OFF-PA-10000659"/>
    <x v="0"/>
    <x v="9"/>
    <x v="311"/>
    <n v="20.94"/>
    <x v="2"/>
    <x v="0"/>
    <n v="9.8417999999999992"/>
    <x v="2"/>
    <x v="7"/>
    <x v="7"/>
  </r>
  <r>
    <n v="1741"/>
    <s v="CA-2014-110527"/>
    <x v="269"/>
    <d v="2014-08-16T00:00:00"/>
    <x v="1"/>
    <s v="ED-13885"/>
    <s v="Emily Ducich"/>
    <x v="1"/>
    <x v="0"/>
    <s v="San Diego"/>
    <x v="7"/>
    <n v="92037"/>
    <x v="1"/>
    <s v="OFF-LA-10000262"/>
    <x v="0"/>
    <x v="1"/>
    <x v="312"/>
    <n v="20.88"/>
    <x v="5"/>
    <x v="0"/>
    <n v="9.6047999999999991"/>
    <x v="5"/>
    <x v="7"/>
    <x v="7"/>
  </r>
  <r>
    <n v="1838"/>
    <s v="CA-2014-117345"/>
    <x v="267"/>
    <d v="2014-08-05T00:00:00"/>
    <x v="1"/>
    <s v="BF-10975"/>
    <s v="Barbara Fisher"/>
    <x v="0"/>
    <x v="0"/>
    <s v="Charlotte"/>
    <x v="8"/>
    <n v="28205"/>
    <x v="0"/>
    <s v="OFF-LA-10000240"/>
    <x v="0"/>
    <x v="1"/>
    <x v="247"/>
    <n v="17.544"/>
    <x v="2"/>
    <x v="1"/>
    <n v="5.9211"/>
    <x v="2"/>
    <x v="7"/>
    <x v="7"/>
  </r>
  <r>
    <n v="202"/>
    <s v="CA-2014-133690"/>
    <x v="270"/>
    <d v="2014-08-05T00:00:00"/>
    <x v="2"/>
    <s v="BS-11755"/>
    <s v="Bruce Stewart"/>
    <x v="2"/>
    <x v="0"/>
    <s v="Denver"/>
    <x v="9"/>
    <n v="80219"/>
    <x v="1"/>
    <s v="FUR-TA-10004289"/>
    <x v="2"/>
    <x v="6"/>
    <x v="313"/>
    <n v="218.75"/>
    <x v="0"/>
    <x v="3"/>
    <n v="-161.875"/>
    <x v="0"/>
    <x v="7"/>
    <x v="7"/>
  </r>
  <r>
    <n v="1088"/>
    <s v="CA-2016-166163"/>
    <x v="271"/>
    <d v="2016-08-20T00:00:00"/>
    <x v="0"/>
    <s v="CY-12745"/>
    <s v="Craig Yedwab"/>
    <x v="0"/>
    <x v="0"/>
    <s v="Oakland"/>
    <x v="7"/>
    <n v="94601"/>
    <x v="1"/>
    <s v="TEC-PH-10004896"/>
    <x v="1"/>
    <x v="7"/>
    <x v="314"/>
    <n v="71.975999999999999"/>
    <x v="2"/>
    <x v="1"/>
    <n v="7.1976000000000004"/>
    <x v="1"/>
    <x v="7"/>
    <x v="7"/>
  </r>
  <r>
    <n v="1239"/>
    <s v="CA-2014-127012"/>
    <x v="272"/>
    <d v="2014-08-15T00:00:00"/>
    <x v="1"/>
    <s v="GM-14680"/>
    <s v="Greg Matthias"/>
    <x v="2"/>
    <x v="0"/>
    <s v="Seattle"/>
    <x v="2"/>
    <n v="98105"/>
    <x v="1"/>
    <s v="FUR-FU-10003691"/>
    <x v="2"/>
    <x v="5"/>
    <x v="174"/>
    <n v="12.35"/>
    <x v="1"/>
    <x v="0"/>
    <n v="5.4340000000000002"/>
    <x v="2"/>
    <x v="7"/>
    <x v="7"/>
  </r>
  <r>
    <n v="187"/>
    <s v="CA-2014-123260"/>
    <x v="273"/>
    <d v="2014-08-30T00:00:00"/>
    <x v="1"/>
    <s v="FM-14290"/>
    <s v="Frank Merwin"/>
    <x v="1"/>
    <x v="0"/>
    <s v="Los Angeles"/>
    <x v="7"/>
    <n v="90032"/>
    <x v="1"/>
    <s v="TEC-AC-10002323"/>
    <x v="1"/>
    <x v="4"/>
    <x v="315"/>
    <n v="176.8"/>
    <x v="5"/>
    <x v="0"/>
    <n v="22.984000000000002"/>
    <x v="2"/>
    <x v="7"/>
    <x v="7"/>
  </r>
  <r>
    <n v="1920"/>
    <s v="US-2017-111423"/>
    <x v="274"/>
    <d v="2017-08-19T00:00:00"/>
    <x v="2"/>
    <s v="EH-13765"/>
    <s v="Edward Hooks"/>
    <x v="0"/>
    <x v="0"/>
    <s v="Watertown"/>
    <x v="20"/>
    <n v="13601"/>
    <x v="2"/>
    <s v="OFF-BI-10003091"/>
    <x v="0"/>
    <x v="10"/>
    <x v="316"/>
    <n v="895.92"/>
    <x v="3"/>
    <x v="1"/>
    <n v="302.37299999999999"/>
    <x v="0"/>
    <x v="7"/>
    <x v="7"/>
  </r>
  <r>
    <n v="100"/>
    <s v="CA-2016-158568"/>
    <x v="275"/>
    <d v="2016-09-02T00:00:00"/>
    <x v="1"/>
    <s v="RB-19465"/>
    <s v="Rick Bensley"/>
    <x v="1"/>
    <x v="0"/>
    <s v="Chicago"/>
    <x v="5"/>
    <n v="60610"/>
    <x v="3"/>
    <s v="OFF-PA-10003256"/>
    <x v="0"/>
    <x v="9"/>
    <x v="317"/>
    <n v="64.623999999999995"/>
    <x v="4"/>
    <x v="1"/>
    <n v="22.618400000000001"/>
    <x v="2"/>
    <x v="7"/>
    <x v="7"/>
  </r>
  <r>
    <n v="743"/>
    <s v="US-2016-146710"/>
    <x v="276"/>
    <d v="2016-09-01T00:00:00"/>
    <x v="1"/>
    <s v="SS-20875"/>
    <s v="Sung Shariari"/>
    <x v="2"/>
    <x v="0"/>
    <s v="Dallas"/>
    <x v="11"/>
    <n v="75220"/>
    <x v="3"/>
    <s v="OFF-SU-10004498"/>
    <x v="0"/>
    <x v="16"/>
    <x v="318"/>
    <n v="51.52"/>
    <x v="3"/>
    <x v="1"/>
    <n v="-10.948"/>
    <x v="1"/>
    <x v="7"/>
    <x v="7"/>
  </r>
  <r>
    <n v="1505"/>
    <s v="CA-2015-153388"/>
    <x v="277"/>
    <d v="2015-08-07T00:00:00"/>
    <x v="1"/>
    <s v="PC-19000"/>
    <s v="Pauline Chand"/>
    <x v="1"/>
    <x v="0"/>
    <s v="Los Angeles"/>
    <x v="7"/>
    <n v="90004"/>
    <x v="1"/>
    <s v="OFF-AR-10001868"/>
    <x v="0"/>
    <x v="3"/>
    <x v="319"/>
    <n v="6.72"/>
    <x v="6"/>
    <x v="0"/>
    <n v="3.36"/>
    <x v="4"/>
    <x v="7"/>
    <x v="7"/>
  </r>
  <r>
    <n v="378"/>
    <s v="US-2017-134481"/>
    <x v="278"/>
    <d v="2017-09-01T00:00:00"/>
    <x v="1"/>
    <s v="AR-10405"/>
    <s v="Allen Rosenblatt"/>
    <x v="0"/>
    <x v="0"/>
    <s v="Franklin"/>
    <x v="37"/>
    <n v="2038"/>
    <x v="2"/>
    <s v="FUR-TA-10004915"/>
    <x v="2"/>
    <x v="6"/>
    <x v="320"/>
    <n v="1488.424"/>
    <x v="4"/>
    <x v="8"/>
    <n v="-297.6848"/>
    <x v="1"/>
    <x v="7"/>
    <x v="7"/>
  </r>
  <r>
    <n v="3335"/>
    <s v="US-2017-109253"/>
    <x v="279"/>
    <d v="2017-08-22T00:00:00"/>
    <x v="2"/>
    <s v="PR-18880"/>
    <s v="Patrick Ryan"/>
    <x v="2"/>
    <x v="0"/>
    <s v="Oakland"/>
    <x v="7"/>
    <n v="94601"/>
    <x v="1"/>
    <s v="OFF-AR-10000203"/>
    <x v="0"/>
    <x v="3"/>
    <x v="321"/>
    <n v="17.12"/>
    <x v="6"/>
    <x v="0"/>
    <n v="4.9648000000000003"/>
    <x v="7"/>
    <x v="7"/>
    <x v="7"/>
  </r>
  <r>
    <n v="3447"/>
    <s v="CA-2016-158869"/>
    <x v="280"/>
    <d v="2016-08-07T00:00:00"/>
    <x v="2"/>
    <s v="AH-10690"/>
    <s v="Anna Häberlin"/>
    <x v="0"/>
    <x v="0"/>
    <s v="New York City"/>
    <x v="20"/>
    <n v="10024"/>
    <x v="2"/>
    <s v="OFF-PA-10000474"/>
    <x v="0"/>
    <x v="9"/>
    <x v="235"/>
    <n v="70.88"/>
    <x v="0"/>
    <x v="0"/>
    <n v="33.313600000000001"/>
    <x v="7"/>
    <x v="7"/>
    <x v="7"/>
  </r>
  <r>
    <n v="655"/>
    <s v="CA-2016-137239"/>
    <x v="281"/>
    <d v="2016-08-28T00:00:00"/>
    <x v="1"/>
    <s v="CR-12730"/>
    <s v="Craig Reiter"/>
    <x v="2"/>
    <x v="0"/>
    <s v="Columbus"/>
    <x v="3"/>
    <n v="43229"/>
    <x v="2"/>
    <s v="OFF-AP-10002439"/>
    <x v="0"/>
    <x v="14"/>
    <x v="322"/>
    <n v="113.55200000000001"/>
    <x v="0"/>
    <x v="1"/>
    <n v="8.5164000000000009"/>
    <x v="4"/>
    <x v="7"/>
    <x v="7"/>
  </r>
  <r>
    <n v="4107"/>
    <s v="US-2016-148334"/>
    <x v="281"/>
    <d v="2016-08-26T00:00:00"/>
    <x v="1"/>
    <s v="DD-13570"/>
    <s v="Dorothy Dickinson"/>
    <x v="2"/>
    <x v="0"/>
    <s v="Houston"/>
    <x v="11"/>
    <n v="77041"/>
    <x v="3"/>
    <s v="OFF-BI-10003676"/>
    <x v="0"/>
    <x v="10"/>
    <x v="323"/>
    <n v="4.3120000000000003"/>
    <x v="0"/>
    <x v="6"/>
    <n v="-6.8992000000000004"/>
    <x v="2"/>
    <x v="7"/>
    <x v="7"/>
  </r>
  <r>
    <n v="637"/>
    <s v="US-2016-123470"/>
    <x v="271"/>
    <d v="2016-08-21T00:00:00"/>
    <x v="1"/>
    <s v="ME-17725"/>
    <s v="Max Engle"/>
    <x v="2"/>
    <x v="0"/>
    <s v="Aurora"/>
    <x v="9"/>
    <n v="80013"/>
    <x v="1"/>
    <s v="OFF-BI-10001989"/>
    <x v="0"/>
    <x v="10"/>
    <x v="324"/>
    <n v="18.882000000000001"/>
    <x v="2"/>
    <x v="7"/>
    <n v="-13.8468"/>
    <x v="4"/>
    <x v="7"/>
    <x v="7"/>
  </r>
  <r>
    <n v="4584"/>
    <s v="US-2016-100405"/>
    <x v="282"/>
    <d v="2016-08-28T00:00:00"/>
    <x v="0"/>
    <s v="TS-21430"/>
    <s v="Tom Stivers"/>
    <x v="0"/>
    <x v="0"/>
    <s v="Los Angeles"/>
    <x v="7"/>
    <n v="90045"/>
    <x v="1"/>
    <s v="OFF-AR-10000390"/>
    <x v="0"/>
    <x v="3"/>
    <x v="325"/>
    <n v="8.26"/>
    <x v="0"/>
    <x v="0"/>
    <n v="3.7995999999999999"/>
    <x v="0"/>
    <x v="7"/>
    <x v="7"/>
  </r>
  <r>
    <n v="617"/>
    <s v="CA-2017-117947"/>
    <x v="283"/>
    <d v="2017-08-23T00:00:00"/>
    <x v="0"/>
    <s v="NG-18355"/>
    <s v="Nat Gilpin"/>
    <x v="0"/>
    <x v="0"/>
    <s v="New York City"/>
    <x v="20"/>
    <n v="10011"/>
    <x v="2"/>
    <s v="FUR-FU-10003849"/>
    <x v="2"/>
    <x v="5"/>
    <x v="326"/>
    <n v="40.479999999999997"/>
    <x v="0"/>
    <x v="0"/>
    <n v="15.7872"/>
    <x v="1"/>
    <x v="7"/>
    <x v="7"/>
  </r>
  <r>
    <n v="1443"/>
    <s v="CA-2017-117695"/>
    <x v="284"/>
    <d v="2017-08-08T00:00:00"/>
    <x v="2"/>
    <s v="PW-19030"/>
    <s v="Pauline Webber"/>
    <x v="0"/>
    <x v="0"/>
    <s v="Richmond"/>
    <x v="24"/>
    <n v="40475"/>
    <x v="0"/>
    <s v="OFF-PA-10002713"/>
    <x v="0"/>
    <x v="9"/>
    <x v="327"/>
    <n v="13.76"/>
    <x v="0"/>
    <x v="0"/>
    <n v="6.3296000000000001"/>
    <x v="3"/>
    <x v="7"/>
    <x v="7"/>
  </r>
  <r>
    <n v="19"/>
    <s v="CA-2014-143336"/>
    <x v="285"/>
    <d v="2014-09-01T00:00:00"/>
    <x v="0"/>
    <s v="ZD-21925"/>
    <s v="Zuschuss Donatelli"/>
    <x v="2"/>
    <x v="0"/>
    <s v="San Francisco"/>
    <x v="7"/>
    <n v="94109"/>
    <x v="1"/>
    <s v="OFF-AR-10003056"/>
    <x v="0"/>
    <x v="3"/>
    <x v="328"/>
    <n v="8.56"/>
    <x v="0"/>
    <x v="0"/>
    <n v="2.4824000000000002"/>
    <x v="1"/>
    <x v="7"/>
    <x v="7"/>
  </r>
  <r>
    <n v="595"/>
    <s v="CA-2014-131450"/>
    <x v="286"/>
    <d v="2014-08-15T00:00:00"/>
    <x v="1"/>
    <s v="LR-16915"/>
    <s v="Lena Radford"/>
    <x v="2"/>
    <x v="0"/>
    <s v="San Diego"/>
    <x v="7"/>
    <n v="92024"/>
    <x v="1"/>
    <s v="OFF-AP-10004708"/>
    <x v="0"/>
    <x v="14"/>
    <x v="329"/>
    <n v="76.12"/>
    <x v="0"/>
    <x v="0"/>
    <n v="22.0748"/>
    <x v="5"/>
    <x v="7"/>
    <x v="7"/>
  </r>
  <r>
    <n v="5610"/>
    <s v="CA-2017-117198"/>
    <x v="287"/>
    <d v="2017-09-05T00:00:00"/>
    <x v="1"/>
    <s v="BG-11035"/>
    <s v="Barry Gonzalez"/>
    <x v="2"/>
    <x v="0"/>
    <s v="Monroe"/>
    <x v="0"/>
    <n v="71203"/>
    <x v="0"/>
    <s v="TEC-AC-10003033"/>
    <x v="1"/>
    <x v="4"/>
    <x v="330"/>
    <n v="659.9"/>
    <x v="0"/>
    <x v="0"/>
    <n v="217.767"/>
    <x v="1"/>
    <x v="7"/>
    <x v="7"/>
  </r>
  <r>
    <n v="5758"/>
    <s v="CA-2015-119634"/>
    <x v="288"/>
    <d v="2015-08-16T00:00:00"/>
    <x v="1"/>
    <s v="BW-11065"/>
    <s v="Barry Weirich"/>
    <x v="2"/>
    <x v="0"/>
    <s v="Raleigh"/>
    <x v="8"/>
    <n v="27604"/>
    <x v="0"/>
    <s v="FUR-FU-10004270"/>
    <x v="2"/>
    <x v="5"/>
    <x v="87"/>
    <n v="46.152000000000001"/>
    <x v="2"/>
    <x v="1"/>
    <n v="12.1149"/>
    <x v="1"/>
    <x v="7"/>
    <x v="7"/>
  </r>
  <r>
    <n v="6134"/>
    <s v="CA-2016-148096"/>
    <x v="289"/>
    <d v="2016-08-19T00:00:00"/>
    <x v="2"/>
    <s v="AO-10810"/>
    <s v="Anthony O'Donnell"/>
    <x v="0"/>
    <x v="0"/>
    <s v="Los Angeles"/>
    <x v="7"/>
    <n v="90045"/>
    <x v="1"/>
    <s v="FUR-TA-10004152"/>
    <x v="2"/>
    <x v="6"/>
    <x v="331"/>
    <n v="161.28"/>
    <x v="0"/>
    <x v="1"/>
    <n v="12.096"/>
    <x v="3"/>
    <x v="7"/>
    <x v="7"/>
  </r>
  <r>
    <n v="3156"/>
    <s v="CA-2014-128986"/>
    <x v="270"/>
    <d v="2014-08-05T00:00:00"/>
    <x v="0"/>
    <s v="GH-14410"/>
    <s v="Gary Hansen"/>
    <x v="1"/>
    <x v="0"/>
    <s v="Glendale"/>
    <x v="19"/>
    <n v="85301"/>
    <x v="1"/>
    <s v="OFF-PA-10001289"/>
    <x v="0"/>
    <x v="9"/>
    <x v="332"/>
    <n v="93.024000000000001"/>
    <x v="2"/>
    <x v="1"/>
    <n v="33.721200000000003"/>
    <x v="0"/>
    <x v="7"/>
    <x v="7"/>
  </r>
  <r>
    <n v="3133"/>
    <s v="CA-2014-107916"/>
    <x v="290"/>
    <d v="2014-08-26T00:00:00"/>
    <x v="2"/>
    <s v="JP-15460"/>
    <s v="Jennifer Patt"/>
    <x v="0"/>
    <x v="0"/>
    <s v="Oceanside"/>
    <x v="20"/>
    <n v="11572"/>
    <x v="2"/>
    <s v="FUR-FU-10004586"/>
    <x v="2"/>
    <x v="5"/>
    <x v="333"/>
    <n v="13.28"/>
    <x v="0"/>
    <x v="0"/>
    <n v="6.3743999999999996"/>
    <x v="0"/>
    <x v="7"/>
    <x v="7"/>
  </r>
  <r>
    <n v="327"/>
    <s v="US-2016-141544"/>
    <x v="291"/>
    <d v="2016-09-01T00:00:00"/>
    <x v="2"/>
    <s v="PO-18850"/>
    <s v="Patrick O'Brill"/>
    <x v="2"/>
    <x v="0"/>
    <s v="Philadelphia"/>
    <x v="31"/>
    <n v="19143"/>
    <x v="2"/>
    <s v="TEC-PH-10003645"/>
    <x v="1"/>
    <x v="7"/>
    <x v="334"/>
    <n v="290.89800000000002"/>
    <x v="2"/>
    <x v="5"/>
    <n v="-67.876199999999997"/>
    <x v="0"/>
    <x v="7"/>
    <x v="7"/>
  </r>
  <r>
    <n v="2669"/>
    <s v="US-2015-139759"/>
    <x v="292"/>
    <d v="2015-08-30T00:00:00"/>
    <x v="1"/>
    <s v="NL-18310"/>
    <s v="Nancy Lomonaco"/>
    <x v="1"/>
    <x v="0"/>
    <s v="Los Angeles"/>
    <x v="7"/>
    <n v="90045"/>
    <x v="1"/>
    <s v="FUR-CH-10002774"/>
    <x v="2"/>
    <x v="13"/>
    <x v="280"/>
    <n v="40.783999999999999"/>
    <x v="1"/>
    <x v="1"/>
    <n v="4.5881999999999996"/>
    <x v="1"/>
    <x v="7"/>
    <x v="7"/>
  </r>
  <r>
    <n v="425"/>
    <s v="CA-2017-155705"/>
    <x v="279"/>
    <d v="2017-08-23T00:00:00"/>
    <x v="0"/>
    <s v="NF-18385"/>
    <s v="Natalie Fritzler"/>
    <x v="2"/>
    <x v="0"/>
    <s v="Jackson"/>
    <x v="34"/>
    <n v="39212"/>
    <x v="0"/>
    <s v="FUR-CH-10000015"/>
    <x v="2"/>
    <x v="13"/>
    <x v="335"/>
    <n v="866.4"/>
    <x v="6"/>
    <x v="0"/>
    <n v="225.26400000000001"/>
    <x v="0"/>
    <x v="7"/>
    <x v="7"/>
  </r>
  <r>
    <n v="1764"/>
    <s v="CA-2016-110254"/>
    <x v="293"/>
    <d v="2016-08-08T00:00:00"/>
    <x v="1"/>
    <s v="ML-17755"/>
    <s v="Max Ludwig"/>
    <x v="1"/>
    <x v="0"/>
    <s v="Suffolk"/>
    <x v="1"/>
    <n v="23434"/>
    <x v="0"/>
    <s v="OFF-SU-10002573"/>
    <x v="0"/>
    <x v="16"/>
    <x v="336"/>
    <n v="35.06"/>
    <x v="0"/>
    <x v="0"/>
    <n v="10.518000000000001"/>
    <x v="2"/>
    <x v="7"/>
    <x v="7"/>
  </r>
  <r>
    <n v="2858"/>
    <s v="CA-2016-154690"/>
    <x v="271"/>
    <d v="2016-08-17T00:00:00"/>
    <x v="0"/>
    <s v="CC-12370"/>
    <s v="Christopher Conant"/>
    <x v="2"/>
    <x v="0"/>
    <s v="Fayetteville"/>
    <x v="8"/>
    <n v="28314"/>
    <x v="0"/>
    <s v="FUR-CH-10000988"/>
    <x v="2"/>
    <x v="13"/>
    <x v="279"/>
    <n v="225.29599999999999"/>
    <x v="0"/>
    <x v="1"/>
    <n v="22.529599999999999"/>
    <x v="0"/>
    <x v="7"/>
    <x v="7"/>
  </r>
  <r>
    <n v="1651"/>
    <s v="CA-2014-135699"/>
    <x v="294"/>
    <d v="2014-08-29T00:00:00"/>
    <x v="3"/>
    <s v="HH-15010"/>
    <s v="Hilary Holden"/>
    <x v="0"/>
    <x v="0"/>
    <s v="San Francisco"/>
    <x v="7"/>
    <n v="94110"/>
    <x v="1"/>
    <s v="OFF-PA-10004475"/>
    <x v="0"/>
    <x v="9"/>
    <x v="337"/>
    <n v="109.92"/>
    <x v="0"/>
    <x v="0"/>
    <n v="53.860799999999998"/>
    <x v="6"/>
    <x v="7"/>
    <x v="7"/>
  </r>
  <r>
    <n v="114"/>
    <s v="CA-2014-115259"/>
    <x v="295"/>
    <d v="2014-08-27T00:00:00"/>
    <x v="0"/>
    <s v="RC-19960"/>
    <s v="Ryan Crowe"/>
    <x v="2"/>
    <x v="0"/>
    <s v="Columbus"/>
    <x v="3"/>
    <n v="43229"/>
    <x v="2"/>
    <s v="OFF-FA-10000621"/>
    <x v="0"/>
    <x v="12"/>
    <x v="338"/>
    <n v="40.095999999999997"/>
    <x v="10"/>
    <x v="1"/>
    <n v="14.534800000000001"/>
    <x v="0"/>
    <x v="7"/>
    <x v="7"/>
  </r>
  <r>
    <n v="2717"/>
    <s v="CA-2017-128475"/>
    <x v="296"/>
    <d v="2017-09-01T00:00:00"/>
    <x v="1"/>
    <s v="SC-20680"/>
    <s v="Steve Carroll"/>
    <x v="1"/>
    <x v="0"/>
    <s v="Columbus"/>
    <x v="4"/>
    <n v="31907"/>
    <x v="0"/>
    <s v="TEC-AC-10000158"/>
    <x v="1"/>
    <x v="4"/>
    <x v="253"/>
    <n v="71.98"/>
    <x v="0"/>
    <x v="0"/>
    <n v="15.1158"/>
    <x v="4"/>
    <x v="7"/>
    <x v="7"/>
  </r>
  <r>
    <n v="226"/>
    <s v="CA-2015-163055"/>
    <x v="297"/>
    <d v="2015-08-16T00:00:00"/>
    <x v="1"/>
    <s v="DS-13180"/>
    <s v="David Smith"/>
    <x v="0"/>
    <x v="0"/>
    <s v="Detroit"/>
    <x v="13"/>
    <n v="48227"/>
    <x v="3"/>
    <s v="OFF-AR-10001026"/>
    <x v="0"/>
    <x v="3"/>
    <x v="339"/>
    <n v="2.2000000000000002"/>
    <x v="1"/>
    <x v="0"/>
    <n v="0.96799999999999997"/>
    <x v="5"/>
    <x v="7"/>
    <x v="7"/>
  </r>
  <r>
    <n v="856"/>
    <s v="CA-2014-125612"/>
    <x v="270"/>
    <d v="2014-08-08T00:00:00"/>
    <x v="1"/>
    <s v="BK-11260"/>
    <s v="Berenike Kampe"/>
    <x v="2"/>
    <x v="0"/>
    <s v="New York City"/>
    <x v="20"/>
    <n v="10035"/>
    <x v="2"/>
    <s v="OFF-PA-10001019"/>
    <x v="0"/>
    <x v="9"/>
    <x v="129"/>
    <n v="39.96"/>
    <x v="0"/>
    <x v="0"/>
    <n v="18.781199999999998"/>
    <x v="1"/>
    <x v="7"/>
    <x v="7"/>
  </r>
  <r>
    <n v="2637"/>
    <s v="CA-2015-162369"/>
    <x v="298"/>
    <d v="2015-08-19T00:00:00"/>
    <x v="1"/>
    <s v="TT-21265"/>
    <s v="Tim Taslimi"/>
    <x v="0"/>
    <x v="0"/>
    <s v="Los Angeles"/>
    <x v="7"/>
    <n v="90045"/>
    <x v="1"/>
    <s v="OFF-ST-10000046"/>
    <x v="0"/>
    <x v="2"/>
    <x v="309"/>
    <n v="323.10000000000002"/>
    <x v="0"/>
    <x v="0"/>
    <n v="61.389000000000003"/>
    <x v="2"/>
    <x v="7"/>
    <x v="7"/>
  </r>
  <r>
    <n v="2573"/>
    <s v="CA-2016-155845"/>
    <x v="299"/>
    <d v="2016-08-15T00:00:00"/>
    <x v="0"/>
    <s v="CM-12235"/>
    <s v="Chris McAfee"/>
    <x v="2"/>
    <x v="0"/>
    <s v="Carrollton"/>
    <x v="11"/>
    <n v="75007"/>
    <x v="3"/>
    <s v="TEC-AC-10004145"/>
    <x v="1"/>
    <x v="4"/>
    <x v="340"/>
    <n v="1399.944"/>
    <x v="4"/>
    <x v="1"/>
    <n v="52.497900000000001"/>
    <x v="3"/>
    <x v="7"/>
    <x v="7"/>
  </r>
  <r>
    <n v="315"/>
    <s v="CA-2014-167850"/>
    <x v="269"/>
    <d v="2014-08-16T00:00:00"/>
    <x v="1"/>
    <s v="AG-10525"/>
    <s v="Andy Gerbode"/>
    <x v="0"/>
    <x v="0"/>
    <s v="Saint Petersburg"/>
    <x v="22"/>
    <n v="33710"/>
    <x v="0"/>
    <s v="TEC-PH-10002398"/>
    <x v="1"/>
    <x v="7"/>
    <x v="341"/>
    <n v="178.38399999999999"/>
    <x v="0"/>
    <x v="1"/>
    <n v="22.297999999999998"/>
    <x v="5"/>
    <x v="7"/>
    <x v="7"/>
  </r>
  <r>
    <n v="2354"/>
    <s v="CA-2015-111514"/>
    <x v="300"/>
    <d v="2015-09-02T00:00:00"/>
    <x v="2"/>
    <s v="SC-20260"/>
    <s v="Scott Cohen"/>
    <x v="0"/>
    <x v="0"/>
    <s v="San Francisco"/>
    <x v="7"/>
    <n v="94122"/>
    <x v="1"/>
    <s v="FUR-BO-10002545"/>
    <x v="2"/>
    <x v="8"/>
    <x v="342"/>
    <n v="1552.8309999999999"/>
    <x v="4"/>
    <x v="2"/>
    <n v="200.9546"/>
    <x v="0"/>
    <x v="7"/>
    <x v="7"/>
  </r>
  <r>
    <n v="1410"/>
    <s v="US-2016-122245"/>
    <x v="301"/>
    <d v="2016-09-30T00:00:00"/>
    <x v="1"/>
    <s v="AB-10105"/>
    <s v="Adrian Barton"/>
    <x v="2"/>
    <x v="0"/>
    <s v="Phoenix"/>
    <x v="19"/>
    <n v="85023"/>
    <x v="1"/>
    <s v="FUR-TA-10002356"/>
    <x v="2"/>
    <x v="6"/>
    <x v="343"/>
    <n v="393.16500000000002"/>
    <x v="2"/>
    <x v="3"/>
    <n v="-204.44579999999999"/>
    <x v="1"/>
    <x v="8"/>
    <x v="8"/>
  </r>
  <r>
    <n v="1628"/>
    <s v="CA-2015-143119"/>
    <x v="302"/>
    <d v="2015-09-30T00:00:00"/>
    <x v="1"/>
    <s v="MC-17275"/>
    <s v="Marc Crier"/>
    <x v="2"/>
    <x v="0"/>
    <s v="Lafayette"/>
    <x v="0"/>
    <n v="70506"/>
    <x v="0"/>
    <s v="FUR-CH-10001270"/>
    <x v="2"/>
    <x v="13"/>
    <x v="344"/>
    <n v="517.5"/>
    <x v="7"/>
    <x v="0"/>
    <n v="155.25"/>
    <x v="4"/>
    <x v="8"/>
    <x v="8"/>
  </r>
  <r>
    <n v="1417"/>
    <s v="CA-2015-126697"/>
    <x v="303"/>
    <d v="2015-09-24T00:00:00"/>
    <x v="2"/>
    <s v="SV-20815"/>
    <s v="Stuart Van"/>
    <x v="0"/>
    <x v="0"/>
    <s v="Houston"/>
    <x v="11"/>
    <n v="77041"/>
    <x v="3"/>
    <s v="TEC-PH-10002922"/>
    <x v="1"/>
    <x v="7"/>
    <x v="345"/>
    <n v="946.34400000000005"/>
    <x v="4"/>
    <x v="1"/>
    <n v="118.29300000000001"/>
    <x v="3"/>
    <x v="8"/>
    <x v="8"/>
  </r>
  <r>
    <n v="1556"/>
    <s v="CA-2017-120761"/>
    <x v="304"/>
    <d v="2017-09-08T00:00:00"/>
    <x v="1"/>
    <s v="AB-10150"/>
    <s v="Aimee Bixby"/>
    <x v="2"/>
    <x v="0"/>
    <s v="Long Beach"/>
    <x v="20"/>
    <n v="11561"/>
    <x v="2"/>
    <s v="TEC-AC-10000171"/>
    <x v="1"/>
    <x v="4"/>
    <x v="53"/>
    <n v="91.96"/>
    <x v="6"/>
    <x v="0"/>
    <n v="39.5428"/>
    <x v="2"/>
    <x v="8"/>
    <x v="8"/>
  </r>
  <r>
    <n v="1538"/>
    <s v="CA-2017-121888"/>
    <x v="305"/>
    <d v="2017-09-17T00:00:00"/>
    <x v="0"/>
    <s v="CL-11890"/>
    <s v="Carl Ludwig"/>
    <x v="2"/>
    <x v="0"/>
    <s v="Everett"/>
    <x v="37"/>
    <n v="2149"/>
    <x v="2"/>
    <s v="TEC-PH-10000439"/>
    <x v="1"/>
    <x v="7"/>
    <x v="346"/>
    <n v="39.99"/>
    <x v="1"/>
    <x v="0"/>
    <n v="11.597099999999999"/>
    <x v="0"/>
    <x v="8"/>
    <x v="8"/>
  </r>
  <r>
    <n v="1459"/>
    <s v="CA-2016-123722"/>
    <x v="301"/>
    <d v="2016-10-01T00:00:00"/>
    <x v="1"/>
    <s v="NH-18610"/>
    <s v="Nicole Hansen"/>
    <x v="0"/>
    <x v="0"/>
    <s v="Irving"/>
    <x v="11"/>
    <n v="75061"/>
    <x v="3"/>
    <s v="OFF-LA-10001569"/>
    <x v="0"/>
    <x v="1"/>
    <x v="347"/>
    <n v="15.936"/>
    <x v="6"/>
    <x v="1"/>
    <n v="5.1791999999999998"/>
    <x v="4"/>
    <x v="8"/>
    <x v="8"/>
  </r>
  <r>
    <n v="263"/>
    <s v="US-2014-106992"/>
    <x v="306"/>
    <d v="2014-09-21T00:00:00"/>
    <x v="0"/>
    <s v="SB-20290"/>
    <s v="Sean Braxton"/>
    <x v="0"/>
    <x v="0"/>
    <s v="Houston"/>
    <x v="11"/>
    <n v="77036"/>
    <x v="3"/>
    <s v="TEC-MA-10000822"/>
    <x v="1"/>
    <x v="11"/>
    <x v="348"/>
    <n v="3059.982"/>
    <x v="2"/>
    <x v="5"/>
    <n v="-509.99700000000001"/>
    <x v="0"/>
    <x v="8"/>
    <x v="8"/>
  </r>
  <r>
    <n v="251"/>
    <s v="CA-2016-145625"/>
    <x v="307"/>
    <d v="2016-09-17T00:00:00"/>
    <x v="1"/>
    <s v="KC-16540"/>
    <s v="Kelly Collister"/>
    <x v="2"/>
    <x v="0"/>
    <s v="San Diego"/>
    <x v="7"/>
    <n v="92037"/>
    <x v="1"/>
    <s v="OFF-PA-10004569"/>
    <x v="0"/>
    <x v="9"/>
    <x v="121"/>
    <n v="7.61"/>
    <x v="1"/>
    <x v="0"/>
    <n v="3.5767000000000002"/>
    <x v="4"/>
    <x v="8"/>
    <x v="8"/>
  </r>
  <r>
    <n v="1496"/>
    <s v="CA-2017-152485"/>
    <x v="304"/>
    <d v="2017-09-08T00:00:00"/>
    <x v="1"/>
    <s v="JD-15790"/>
    <s v="John Dryer"/>
    <x v="2"/>
    <x v="0"/>
    <s v="Coppell"/>
    <x v="11"/>
    <n v="75019"/>
    <x v="3"/>
    <s v="OFF-AR-10003759"/>
    <x v="0"/>
    <x v="3"/>
    <x v="349"/>
    <n v="10.192"/>
    <x v="4"/>
    <x v="1"/>
    <n v="3.1850000000000001"/>
    <x v="2"/>
    <x v="8"/>
    <x v="8"/>
  </r>
  <r>
    <n v="1420"/>
    <s v="CA-2015-124800"/>
    <x v="308"/>
    <d v="2015-09-30T00:00:00"/>
    <x v="1"/>
    <s v="RW-19540"/>
    <s v="Rick Wilson"/>
    <x v="0"/>
    <x v="0"/>
    <s v="Mesa"/>
    <x v="19"/>
    <n v="85204"/>
    <x v="1"/>
    <s v="OFF-PA-10000501"/>
    <x v="0"/>
    <x v="9"/>
    <x v="350"/>
    <n v="86.272000000000006"/>
    <x v="6"/>
    <x v="1"/>
    <n v="31.273599999999998"/>
    <x v="2"/>
    <x v="8"/>
    <x v="8"/>
  </r>
  <r>
    <n v="1683"/>
    <s v="US-2016-101497"/>
    <x v="309"/>
    <d v="2016-10-01T00:00:00"/>
    <x v="0"/>
    <s v="PS-18760"/>
    <s v="Pamela Stobb"/>
    <x v="2"/>
    <x v="0"/>
    <s v="Los Angeles"/>
    <x v="7"/>
    <n v="90008"/>
    <x v="1"/>
    <s v="OFF-PA-10000176"/>
    <x v="0"/>
    <x v="9"/>
    <x v="351"/>
    <n v="18.97"/>
    <x v="1"/>
    <x v="0"/>
    <n v="9.1056000000000008"/>
    <x v="0"/>
    <x v="8"/>
    <x v="8"/>
  </r>
  <r>
    <n v="2536"/>
    <s v="CA-2015-143238"/>
    <x v="310"/>
    <d v="2015-09-08T00:00:00"/>
    <x v="2"/>
    <s v="LO-17170"/>
    <s v="Lori Olson"/>
    <x v="0"/>
    <x v="0"/>
    <s v="La Quinta"/>
    <x v="7"/>
    <n v="92253"/>
    <x v="1"/>
    <s v="TEC-AC-10003499"/>
    <x v="1"/>
    <x v="4"/>
    <x v="352"/>
    <n v="46.32"/>
    <x v="6"/>
    <x v="0"/>
    <n v="18.064800000000002"/>
    <x v="0"/>
    <x v="8"/>
    <x v="8"/>
  </r>
  <r>
    <n v="1795"/>
    <s v="CA-2016-140774"/>
    <x v="311"/>
    <d v="2016-09-10T00:00:00"/>
    <x v="1"/>
    <s v="BE-11455"/>
    <s v="Brad Eason"/>
    <x v="1"/>
    <x v="0"/>
    <s v="Olathe"/>
    <x v="38"/>
    <n v="66062"/>
    <x v="3"/>
    <s v="OFF-AR-10004022"/>
    <x v="0"/>
    <x v="3"/>
    <x v="172"/>
    <n v="107.94"/>
    <x v="2"/>
    <x v="0"/>
    <n v="26.984999999999999"/>
    <x v="1"/>
    <x v="8"/>
    <x v="8"/>
  </r>
  <r>
    <n v="90"/>
    <s v="CA-2016-109806"/>
    <x v="312"/>
    <d v="2016-09-22T00:00:00"/>
    <x v="1"/>
    <s v="JS-15685"/>
    <s v="Jim Sink"/>
    <x v="0"/>
    <x v="0"/>
    <s v="Los Angeles"/>
    <x v="7"/>
    <n v="90036"/>
    <x v="1"/>
    <s v="OFF-AR-10004930"/>
    <x v="0"/>
    <x v="3"/>
    <x v="353"/>
    <n v="20.100000000000001"/>
    <x v="2"/>
    <x v="0"/>
    <n v="6.633"/>
    <x v="1"/>
    <x v="8"/>
    <x v="8"/>
  </r>
  <r>
    <n v="3080"/>
    <s v="CA-2017-101182"/>
    <x v="304"/>
    <d v="2017-09-05T00:00:00"/>
    <x v="2"/>
    <s v="KB-16405"/>
    <s v="Katrina Bavinger"/>
    <x v="1"/>
    <x v="0"/>
    <s v="Apple Valley"/>
    <x v="7"/>
    <n v="92307"/>
    <x v="1"/>
    <s v="OFF-PA-10001800"/>
    <x v="0"/>
    <x v="9"/>
    <x v="354"/>
    <n v="12.96"/>
    <x v="0"/>
    <x v="0"/>
    <n v="6.2207999999999997"/>
    <x v="7"/>
    <x v="8"/>
    <x v="8"/>
  </r>
  <r>
    <n v="3127"/>
    <s v="CA-2017-149895"/>
    <x v="313"/>
    <d v="2017-09-12T00:00:00"/>
    <x v="1"/>
    <s v="EB-14110"/>
    <s v="Eugene Barchas"/>
    <x v="2"/>
    <x v="0"/>
    <s v="Philadelphia"/>
    <x v="31"/>
    <n v="19134"/>
    <x v="2"/>
    <s v="TEC-PH-10002200"/>
    <x v="1"/>
    <x v="7"/>
    <x v="355"/>
    <n v="258.52800000000002"/>
    <x v="0"/>
    <x v="5"/>
    <n v="-47.396799999999999"/>
    <x v="2"/>
    <x v="8"/>
    <x v="8"/>
  </r>
  <r>
    <n v="84"/>
    <s v="CA-2015-149734"/>
    <x v="314"/>
    <d v="2015-09-08T00:00:00"/>
    <x v="1"/>
    <s v="JC-16105"/>
    <s v="Julie Creighton"/>
    <x v="0"/>
    <x v="0"/>
    <s v="Durham"/>
    <x v="8"/>
    <n v="27707"/>
    <x v="0"/>
    <s v="OFF-EN-10000927"/>
    <x v="0"/>
    <x v="0"/>
    <x v="356"/>
    <n v="200.98400000000001"/>
    <x v="4"/>
    <x v="1"/>
    <n v="62.807499999999997"/>
    <x v="1"/>
    <x v="8"/>
    <x v="8"/>
  </r>
  <r>
    <n v="3161"/>
    <s v="US-2014-150924"/>
    <x v="315"/>
    <d v="2014-09-16T00:00:00"/>
    <x v="0"/>
    <s v="PT-19090"/>
    <s v="Pete Takahito"/>
    <x v="2"/>
    <x v="0"/>
    <s v="Houston"/>
    <x v="11"/>
    <n v="77070"/>
    <x v="3"/>
    <s v="OFF-BI-10004040"/>
    <x v="0"/>
    <x v="10"/>
    <x v="260"/>
    <n v="5.18"/>
    <x v="3"/>
    <x v="6"/>
    <n v="-8.0289999999999999"/>
    <x v="2"/>
    <x v="8"/>
    <x v="8"/>
  </r>
  <r>
    <n v="3194"/>
    <s v="CA-2014-165428"/>
    <x v="316"/>
    <d v="2014-09-04T00:00:00"/>
    <x v="2"/>
    <s v="JL-15130"/>
    <s v="Jack Lebron"/>
    <x v="2"/>
    <x v="0"/>
    <s v="Houston"/>
    <x v="11"/>
    <n v="77036"/>
    <x v="3"/>
    <s v="OFF-BI-10002949"/>
    <x v="0"/>
    <x v="10"/>
    <x v="357"/>
    <n v="3.6480000000000001"/>
    <x v="2"/>
    <x v="6"/>
    <n v="-6.0191999999999997"/>
    <x v="3"/>
    <x v="8"/>
    <x v="8"/>
  </r>
  <r>
    <n v="71"/>
    <s v="CA-2016-106075"/>
    <x v="317"/>
    <d v="2016-09-23T00:00:00"/>
    <x v="1"/>
    <s v="HM-14980"/>
    <s v="Henry MacAllister"/>
    <x v="2"/>
    <x v="0"/>
    <s v="New York City"/>
    <x v="20"/>
    <n v="10009"/>
    <x v="2"/>
    <s v="OFF-BI-10004654"/>
    <x v="0"/>
    <x v="10"/>
    <x v="358"/>
    <n v="4.6159999999999997"/>
    <x v="1"/>
    <x v="1"/>
    <n v="1.7310000000000001"/>
    <x v="1"/>
    <x v="8"/>
    <x v="8"/>
  </r>
  <r>
    <n v="3852"/>
    <s v="CA-2015-127593"/>
    <x v="303"/>
    <d v="2015-09-21T00:00:00"/>
    <x v="3"/>
    <s v="DH-13675"/>
    <s v="Duane Huffman"/>
    <x v="1"/>
    <x v="0"/>
    <s v="Quincy"/>
    <x v="37"/>
    <n v="2169"/>
    <x v="2"/>
    <s v="FUR-FU-10004006"/>
    <x v="2"/>
    <x v="5"/>
    <x v="359"/>
    <n v="85.3"/>
    <x v="0"/>
    <x v="0"/>
    <n v="14.500999999999999"/>
    <x v="6"/>
    <x v="8"/>
    <x v="8"/>
  </r>
  <r>
    <n v="44"/>
    <s v="CA-2017-139619"/>
    <x v="318"/>
    <d v="2017-09-23T00:00:00"/>
    <x v="1"/>
    <s v="ES-14080"/>
    <s v="Erin Smith"/>
    <x v="0"/>
    <x v="0"/>
    <s v="Melbourne"/>
    <x v="22"/>
    <n v="32935"/>
    <x v="0"/>
    <s v="OFF-ST-10003282"/>
    <x v="0"/>
    <x v="2"/>
    <x v="360"/>
    <n v="95.616"/>
    <x v="0"/>
    <x v="1"/>
    <n v="9.5616000000000003"/>
    <x v="2"/>
    <x v="8"/>
    <x v="8"/>
  </r>
  <r>
    <n v="42"/>
    <s v="CA-2017-120999"/>
    <x v="319"/>
    <d v="2017-09-15T00:00:00"/>
    <x v="1"/>
    <s v="LC-16930"/>
    <s v="Linda Cazamias"/>
    <x v="0"/>
    <x v="0"/>
    <s v="Naperville"/>
    <x v="5"/>
    <n v="60540"/>
    <x v="3"/>
    <s v="TEC-PH-10004093"/>
    <x v="1"/>
    <x v="7"/>
    <x v="361"/>
    <n v="147.16800000000001"/>
    <x v="6"/>
    <x v="1"/>
    <n v="16.5564"/>
    <x v="1"/>
    <x v="8"/>
    <x v="8"/>
  </r>
  <r>
    <n v="4251"/>
    <s v="CA-2014-168130"/>
    <x v="306"/>
    <d v="2014-09-19T00:00:00"/>
    <x v="3"/>
    <s v="BS-11365"/>
    <s v="Bill Shonely"/>
    <x v="0"/>
    <x v="0"/>
    <s v="New York City"/>
    <x v="20"/>
    <n v="10011"/>
    <x v="2"/>
    <s v="FUR-CH-10000988"/>
    <x v="2"/>
    <x v="13"/>
    <x v="279"/>
    <n v="887.10299999999995"/>
    <x v="4"/>
    <x v="9"/>
    <n v="177.42060000000001"/>
    <x v="6"/>
    <x v="8"/>
    <x v="8"/>
  </r>
  <r>
    <n v="28"/>
    <s v="US-2015-150630"/>
    <x v="320"/>
    <d v="2015-09-21T00:00:00"/>
    <x v="1"/>
    <s v="TB-21520"/>
    <s v="Tracy Blumstein"/>
    <x v="2"/>
    <x v="0"/>
    <s v="Philadelphia"/>
    <x v="31"/>
    <n v="19140"/>
    <x v="2"/>
    <s v="FUR-BO-10004834"/>
    <x v="2"/>
    <x v="8"/>
    <x v="362"/>
    <n v="3083.43"/>
    <x v="4"/>
    <x v="3"/>
    <n v="-1665.0522000000001"/>
    <x v="2"/>
    <x v="8"/>
    <x v="8"/>
  </r>
  <r>
    <n v="25"/>
    <s v="CA-2015-106320"/>
    <x v="321"/>
    <d v="2015-09-30T00:00:00"/>
    <x v="1"/>
    <s v="EB-13870"/>
    <s v="Emily Burns"/>
    <x v="2"/>
    <x v="0"/>
    <s v="Orem"/>
    <x v="28"/>
    <n v="84057"/>
    <x v="1"/>
    <s v="FUR-TA-10000577"/>
    <x v="2"/>
    <x v="6"/>
    <x v="230"/>
    <n v="1044.6300000000001"/>
    <x v="2"/>
    <x v="0"/>
    <n v="240.26490000000001"/>
    <x v="1"/>
    <x v="8"/>
    <x v="8"/>
  </r>
  <r>
    <n v="4926"/>
    <s v="CA-2017-126438"/>
    <x v="319"/>
    <d v="2017-09-13T00:00:00"/>
    <x v="2"/>
    <s v="AR-10345"/>
    <s v="Alex Russell"/>
    <x v="0"/>
    <x v="0"/>
    <s v="Lawrence"/>
    <x v="37"/>
    <n v="1841"/>
    <x v="2"/>
    <s v="OFF-AR-10003338"/>
    <x v="0"/>
    <x v="3"/>
    <x v="363"/>
    <n v="14.88"/>
    <x v="0"/>
    <x v="0"/>
    <n v="3.72"/>
    <x v="3"/>
    <x v="8"/>
    <x v="8"/>
  </r>
  <r>
    <n v="5009"/>
    <s v="CA-2015-102876"/>
    <x v="322"/>
    <d v="2015-09-14T00:00:00"/>
    <x v="1"/>
    <s v="LR-17035"/>
    <s v="Lisa Ryan"/>
    <x v="0"/>
    <x v="0"/>
    <s v="Philadelphia"/>
    <x v="31"/>
    <n v="19134"/>
    <x v="2"/>
    <s v="OFF-BI-10004781"/>
    <x v="0"/>
    <x v="10"/>
    <x v="364"/>
    <n v="9.5220000000000002"/>
    <x v="1"/>
    <x v="7"/>
    <n v="-6.9828000000000001"/>
    <x v="5"/>
    <x v="8"/>
    <x v="8"/>
  </r>
  <r>
    <n v="5083"/>
    <s v="CA-2016-155138"/>
    <x v="323"/>
    <d v="2016-09-12T00:00:00"/>
    <x v="1"/>
    <s v="JM-15580"/>
    <s v="Jill Matthias"/>
    <x v="2"/>
    <x v="0"/>
    <s v="Monroe"/>
    <x v="8"/>
    <n v="28110"/>
    <x v="0"/>
    <s v="TEC-AC-10004209"/>
    <x v="1"/>
    <x v="4"/>
    <x v="365"/>
    <n v="35.167999999999999"/>
    <x v="6"/>
    <x v="1"/>
    <n v="8.3523999999999994"/>
    <x v="2"/>
    <x v="8"/>
    <x v="8"/>
  </r>
  <r>
    <n v="5382"/>
    <s v="CA-2016-149195"/>
    <x v="311"/>
    <d v="2016-09-07T00:00:00"/>
    <x v="0"/>
    <s v="DM-13525"/>
    <s v="Don Miller"/>
    <x v="0"/>
    <x v="0"/>
    <s v="Houston"/>
    <x v="11"/>
    <n v="77070"/>
    <x v="3"/>
    <s v="OFF-PA-10001870"/>
    <x v="0"/>
    <x v="9"/>
    <x v="366"/>
    <n v="25.92"/>
    <x v="3"/>
    <x v="1"/>
    <n v="9.0719999999999992"/>
    <x v="0"/>
    <x v="8"/>
    <x v="8"/>
  </r>
  <r>
    <n v="5401"/>
    <s v="CA-2017-132262"/>
    <x v="324"/>
    <d v="2017-09-23T00:00:00"/>
    <x v="2"/>
    <s v="ML-18265"/>
    <s v="Muhammed Lee"/>
    <x v="2"/>
    <x v="0"/>
    <s v="Seattle"/>
    <x v="2"/>
    <n v="98103"/>
    <x v="1"/>
    <s v="TEC-AC-10000158"/>
    <x v="1"/>
    <x v="4"/>
    <x v="253"/>
    <n v="71.98"/>
    <x v="0"/>
    <x v="0"/>
    <n v="15.1158"/>
    <x v="0"/>
    <x v="8"/>
    <x v="8"/>
  </r>
  <r>
    <n v="5597"/>
    <s v="CA-2015-159779"/>
    <x v="321"/>
    <d v="2015-09-29T00:00:00"/>
    <x v="1"/>
    <s v="SB-20185"/>
    <s v="Sarah Brown"/>
    <x v="2"/>
    <x v="0"/>
    <s v="Concord"/>
    <x v="33"/>
    <n v="3301"/>
    <x v="2"/>
    <s v="OFF-BI-10002735"/>
    <x v="0"/>
    <x v="10"/>
    <x v="367"/>
    <n v="68.62"/>
    <x v="0"/>
    <x v="0"/>
    <n v="32.251399999999997"/>
    <x v="2"/>
    <x v="8"/>
    <x v="8"/>
  </r>
  <r>
    <n v="6623"/>
    <s v="CA-2014-130449"/>
    <x v="325"/>
    <d v="2014-09-09T00:00:00"/>
    <x v="2"/>
    <s v="VP-21760"/>
    <s v="Victoria Pisteka"/>
    <x v="0"/>
    <x v="0"/>
    <s v="San Francisco"/>
    <x v="7"/>
    <n v="94109"/>
    <x v="1"/>
    <s v="FUR-FU-10001487"/>
    <x v="2"/>
    <x v="5"/>
    <x v="246"/>
    <n v="41.88"/>
    <x v="7"/>
    <x v="0"/>
    <n v="12.145200000000001"/>
    <x v="3"/>
    <x v="8"/>
    <x v="8"/>
  </r>
  <r>
    <n v="6756"/>
    <s v="CA-2017-124205"/>
    <x v="305"/>
    <d v="2017-09-19T00:00:00"/>
    <x v="1"/>
    <s v="TC-21145"/>
    <s v="Theresa Coyne"/>
    <x v="0"/>
    <x v="0"/>
    <s v="Lakewood"/>
    <x v="18"/>
    <n v="8701"/>
    <x v="2"/>
    <s v="FUR-FU-10002445"/>
    <x v="2"/>
    <x v="5"/>
    <x v="5"/>
    <n v="47.4"/>
    <x v="3"/>
    <x v="0"/>
    <n v="18.96"/>
    <x v="2"/>
    <x v="8"/>
    <x v="8"/>
  </r>
  <r>
    <n v="3031"/>
    <s v="CA-2015-168480"/>
    <x v="303"/>
    <d v="2015-09-27T00:00:00"/>
    <x v="1"/>
    <s v="DM-12955"/>
    <s v="Dario Medina"/>
    <x v="0"/>
    <x v="0"/>
    <s v="Lincoln Park"/>
    <x v="13"/>
    <n v="48146"/>
    <x v="3"/>
    <s v="FUR-BO-10000468"/>
    <x v="2"/>
    <x v="8"/>
    <x v="368"/>
    <n v="194.32"/>
    <x v="6"/>
    <x v="0"/>
    <n v="31.091200000000001"/>
    <x v="4"/>
    <x v="8"/>
    <x v="8"/>
  </r>
  <r>
    <n v="1784"/>
    <s v="CA-2017-166317"/>
    <x v="326"/>
    <d v="2017-09-26T00:00:00"/>
    <x v="1"/>
    <s v="JE-15610"/>
    <s v="Jim Epp"/>
    <x v="0"/>
    <x v="0"/>
    <s v="Milwaukee"/>
    <x v="16"/>
    <n v="53209"/>
    <x v="3"/>
    <s v="OFF-PA-10004475"/>
    <x v="0"/>
    <x v="9"/>
    <x v="337"/>
    <n v="219.84"/>
    <x v="6"/>
    <x v="0"/>
    <n v="107.7216"/>
    <x v="2"/>
    <x v="8"/>
    <x v="8"/>
  </r>
  <r>
    <n v="3005"/>
    <s v="CA-2016-131499"/>
    <x v="323"/>
    <d v="2016-09-10T00:00:00"/>
    <x v="2"/>
    <s v="MG-17875"/>
    <s v="Michael Grace"/>
    <x v="1"/>
    <x v="0"/>
    <s v="New York City"/>
    <x v="20"/>
    <n v="10011"/>
    <x v="2"/>
    <s v="OFF-AP-10003779"/>
    <x v="0"/>
    <x v="14"/>
    <x v="369"/>
    <n v="207.48"/>
    <x v="1"/>
    <x v="0"/>
    <n v="62.244"/>
    <x v="0"/>
    <x v="8"/>
    <x v="8"/>
  </r>
  <r>
    <n v="2816"/>
    <s v="CA-2015-104626"/>
    <x v="327"/>
    <d v="2015-09-08T00:00:00"/>
    <x v="1"/>
    <s v="DR-12940"/>
    <s v="Daniel Raglin"/>
    <x v="1"/>
    <x v="0"/>
    <s v="Franklin"/>
    <x v="37"/>
    <n v="2038"/>
    <x v="2"/>
    <s v="OFF-BI-10001510"/>
    <x v="0"/>
    <x v="10"/>
    <x v="370"/>
    <n v="114.6"/>
    <x v="3"/>
    <x v="0"/>
    <n v="51.57"/>
    <x v="5"/>
    <x v="8"/>
    <x v="8"/>
  </r>
  <r>
    <n v="1947"/>
    <s v="CA-2017-157987"/>
    <x v="328"/>
    <d v="2017-09-06T00:00:00"/>
    <x v="1"/>
    <s v="AC-10615"/>
    <s v="Ann Chong"/>
    <x v="0"/>
    <x v="0"/>
    <s v="New York City"/>
    <x v="20"/>
    <n v="10009"/>
    <x v="2"/>
    <s v="OFF-AR-10000658"/>
    <x v="0"/>
    <x v="3"/>
    <x v="155"/>
    <n v="23.1"/>
    <x v="0"/>
    <x v="0"/>
    <n v="6.468"/>
    <x v="2"/>
    <x v="8"/>
    <x v="8"/>
  </r>
  <r>
    <n v="2014"/>
    <s v="CA-2016-145905"/>
    <x v="317"/>
    <d v="2016-09-23T00:00:00"/>
    <x v="1"/>
    <s v="AM-10705"/>
    <s v="Anne McFarland"/>
    <x v="2"/>
    <x v="0"/>
    <s v="Auburn"/>
    <x v="6"/>
    <n v="36830"/>
    <x v="0"/>
    <s v="FUR-CH-10001854"/>
    <x v="2"/>
    <x v="13"/>
    <x v="371"/>
    <n v="350.98"/>
    <x v="1"/>
    <x v="0"/>
    <n v="84.235200000000006"/>
    <x v="1"/>
    <x v="8"/>
    <x v="8"/>
  </r>
  <r>
    <n v="2021"/>
    <s v="CA-2016-168354"/>
    <x v="329"/>
    <d v="2016-09-21T00:00:00"/>
    <x v="2"/>
    <s v="RH-19510"/>
    <s v="Rick Huthwaite"/>
    <x v="1"/>
    <x v="0"/>
    <s v="Providence"/>
    <x v="35"/>
    <n v="2908"/>
    <x v="2"/>
    <s v="OFF-ST-10001490"/>
    <x v="0"/>
    <x v="2"/>
    <x v="80"/>
    <n v="1606.23"/>
    <x v="8"/>
    <x v="0"/>
    <n v="481.86900000000003"/>
    <x v="0"/>
    <x v="8"/>
    <x v="8"/>
  </r>
  <r>
    <n v="2035"/>
    <s v="CA-2017-162481"/>
    <x v="330"/>
    <d v="2017-09-29T00:00:00"/>
    <x v="1"/>
    <s v="CT-11995"/>
    <s v="Carol Triggs"/>
    <x v="2"/>
    <x v="0"/>
    <s v="Rochester"/>
    <x v="10"/>
    <n v="55901"/>
    <x v="3"/>
    <s v="OFF-BI-10002976"/>
    <x v="0"/>
    <x v="10"/>
    <x v="372"/>
    <n v="8.26"/>
    <x v="0"/>
    <x v="0"/>
    <n v="3.8822000000000001"/>
    <x v="2"/>
    <x v="8"/>
    <x v="8"/>
  </r>
  <r>
    <n v="2077"/>
    <s v="CA-2017-140676"/>
    <x v="331"/>
    <d v="2017-09-15T00:00:00"/>
    <x v="2"/>
    <s v="BF-11080"/>
    <s v="Bart Folk"/>
    <x v="2"/>
    <x v="0"/>
    <s v="Baltimore"/>
    <x v="27"/>
    <n v="21215"/>
    <x v="2"/>
    <s v="OFF-PA-10004082"/>
    <x v="0"/>
    <x v="9"/>
    <x v="373"/>
    <n v="39.9"/>
    <x v="3"/>
    <x v="0"/>
    <n v="19.95"/>
    <x v="3"/>
    <x v="8"/>
    <x v="8"/>
  </r>
  <r>
    <n v="2106"/>
    <s v="US-2014-167633"/>
    <x v="332"/>
    <d v="2014-10-05T00:00:00"/>
    <x v="1"/>
    <s v="BW-11200"/>
    <s v="Ben Wallace"/>
    <x v="2"/>
    <x v="0"/>
    <s v="Boynton Beach"/>
    <x v="22"/>
    <n v="33437"/>
    <x v="0"/>
    <s v="OFF-PA-10004888"/>
    <x v="0"/>
    <x v="9"/>
    <x v="374"/>
    <n v="15.552"/>
    <x v="2"/>
    <x v="1"/>
    <n v="5.4432"/>
    <x v="1"/>
    <x v="8"/>
    <x v="8"/>
  </r>
  <r>
    <n v="2118"/>
    <s v="CA-2016-130267"/>
    <x v="329"/>
    <d v="2016-09-23T00:00:00"/>
    <x v="1"/>
    <s v="SW-20245"/>
    <s v="Scot Wooten"/>
    <x v="2"/>
    <x v="0"/>
    <s v="Stockton"/>
    <x v="7"/>
    <n v="95207"/>
    <x v="1"/>
    <s v="OFF-PA-10002222"/>
    <x v="0"/>
    <x v="9"/>
    <x v="375"/>
    <n v="159.88"/>
    <x v="4"/>
    <x v="0"/>
    <n v="73.544799999999995"/>
    <x v="2"/>
    <x v="8"/>
    <x v="8"/>
  </r>
  <r>
    <n v="175"/>
    <s v="US-2014-100853"/>
    <x v="333"/>
    <d v="2014-09-19T00:00:00"/>
    <x v="1"/>
    <s v="JB-15400"/>
    <s v="Jennifer Braxton"/>
    <x v="0"/>
    <x v="0"/>
    <s v="Chicago"/>
    <x v="5"/>
    <n v="60623"/>
    <x v="3"/>
    <s v="OFF-AP-10000891"/>
    <x v="0"/>
    <x v="14"/>
    <x v="376"/>
    <n v="52.448"/>
    <x v="0"/>
    <x v="6"/>
    <n v="-131.12"/>
    <x v="1"/>
    <x v="8"/>
    <x v="8"/>
  </r>
  <r>
    <n v="2218"/>
    <s v="CA-2014-151953"/>
    <x v="334"/>
    <d v="2014-09-25T00:00:00"/>
    <x v="1"/>
    <s v="DB-13555"/>
    <s v="Dorothy Badders"/>
    <x v="0"/>
    <x v="0"/>
    <s v="Jacksonville"/>
    <x v="22"/>
    <n v="32216"/>
    <x v="0"/>
    <s v="OFF-AR-10003469"/>
    <x v="0"/>
    <x v="3"/>
    <x v="377"/>
    <n v="2.8159999999999998"/>
    <x v="0"/>
    <x v="1"/>
    <n v="0.98560000000000003"/>
    <x v="1"/>
    <x v="8"/>
    <x v="8"/>
  </r>
  <r>
    <n v="165"/>
    <s v="CA-2014-139892"/>
    <x v="335"/>
    <d v="2014-09-12T00:00:00"/>
    <x v="1"/>
    <s v="BM-11140"/>
    <s v="Becky Martin"/>
    <x v="2"/>
    <x v="0"/>
    <s v="San Antonio"/>
    <x v="11"/>
    <n v="78207"/>
    <x v="3"/>
    <s v="OFF-AR-10004441"/>
    <x v="0"/>
    <x v="3"/>
    <x v="378"/>
    <n v="9.9359999999999999"/>
    <x v="2"/>
    <x v="1"/>
    <n v="2.7324000000000002"/>
    <x v="2"/>
    <x v="8"/>
    <x v="8"/>
  </r>
  <r>
    <n v="2268"/>
    <s v="CA-2017-137470"/>
    <x v="336"/>
    <d v="2017-09-17T00:00:00"/>
    <x v="3"/>
    <s v="TP-21415"/>
    <s v="Tom Prescott"/>
    <x v="2"/>
    <x v="0"/>
    <s v="Seattle"/>
    <x v="2"/>
    <n v="98115"/>
    <x v="1"/>
    <s v="OFF-PA-10002001"/>
    <x v="0"/>
    <x v="9"/>
    <x v="379"/>
    <n v="12.96"/>
    <x v="0"/>
    <x v="0"/>
    <n v="6.3503999999999996"/>
    <x v="6"/>
    <x v="8"/>
    <x v="8"/>
  </r>
  <r>
    <n v="2326"/>
    <s v="CA-2015-105102"/>
    <x v="337"/>
    <d v="2015-09-19T00:00:00"/>
    <x v="0"/>
    <s v="BM-11575"/>
    <s v="Brendan Murry"/>
    <x v="0"/>
    <x v="0"/>
    <s v="New York City"/>
    <x v="20"/>
    <n v="10035"/>
    <x v="2"/>
    <s v="OFF-BI-10002082"/>
    <x v="0"/>
    <x v="10"/>
    <x v="306"/>
    <n v="79.872"/>
    <x v="2"/>
    <x v="1"/>
    <n v="29.952000000000002"/>
    <x v="2"/>
    <x v="8"/>
    <x v="8"/>
  </r>
  <r>
    <n v="2329"/>
    <s v="CA-2017-138422"/>
    <x v="338"/>
    <d v="2017-09-26T00:00:00"/>
    <x v="2"/>
    <s v="KN-16705"/>
    <s v="Kristina Nunn"/>
    <x v="1"/>
    <x v="0"/>
    <s v="Fort Collins"/>
    <x v="9"/>
    <n v="80525"/>
    <x v="1"/>
    <s v="OFF-EN-10004147"/>
    <x v="0"/>
    <x v="0"/>
    <x v="380"/>
    <n v="14.352"/>
    <x v="2"/>
    <x v="1"/>
    <n v="5.2026000000000003"/>
    <x v="3"/>
    <x v="8"/>
    <x v="8"/>
  </r>
  <r>
    <n v="2335"/>
    <s v="CA-2014-140886"/>
    <x v="332"/>
    <d v="2014-10-04T00:00:00"/>
    <x v="1"/>
    <s v="KW-16570"/>
    <s v="Kelly Williams"/>
    <x v="2"/>
    <x v="0"/>
    <s v="Clarksville"/>
    <x v="17"/>
    <n v="37042"/>
    <x v="0"/>
    <s v="OFF-AP-10000696"/>
    <x v="0"/>
    <x v="14"/>
    <x v="113"/>
    <n v="69.215999999999994"/>
    <x v="7"/>
    <x v="1"/>
    <n v="11.2476"/>
    <x v="2"/>
    <x v="8"/>
    <x v="8"/>
  </r>
  <r>
    <n v="2478"/>
    <s v="CA-2017-102750"/>
    <x v="304"/>
    <d v="2017-09-08T00:00:00"/>
    <x v="0"/>
    <s v="GM-14695"/>
    <s v="Greg Maxwell"/>
    <x v="0"/>
    <x v="0"/>
    <s v="Los Angeles"/>
    <x v="7"/>
    <n v="90036"/>
    <x v="1"/>
    <s v="FUR-TA-10000198"/>
    <x v="2"/>
    <x v="6"/>
    <x v="381"/>
    <n v="1322.3520000000001"/>
    <x v="2"/>
    <x v="1"/>
    <n v="-99.176400000000001"/>
    <x v="2"/>
    <x v="8"/>
    <x v="8"/>
  </r>
  <r>
    <n v="146"/>
    <s v="CA-2015-110744"/>
    <x v="322"/>
    <d v="2015-09-12T00:00:00"/>
    <x v="1"/>
    <s v="HA-14920"/>
    <s v="Helen Andreada"/>
    <x v="2"/>
    <x v="0"/>
    <s v="Pasadena"/>
    <x v="7"/>
    <n v="91104"/>
    <x v="1"/>
    <s v="OFF-ST-10003656"/>
    <x v="0"/>
    <x v="2"/>
    <x v="133"/>
    <n v="671.93"/>
    <x v="4"/>
    <x v="0"/>
    <n v="20.157900000000001"/>
    <x v="1"/>
    <x v="8"/>
    <x v="8"/>
  </r>
  <r>
    <n v="2543"/>
    <s v="CA-2014-164385"/>
    <x v="339"/>
    <d v="2014-10-01T00:00:00"/>
    <x v="0"/>
    <s v="NB-18580"/>
    <s v="Nicole Brennan"/>
    <x v="0"/>
    <x v="0"/>
    <s v="Philadelphia"/>
    <x v="31"/>
    <n v="19134"/>
    <x v="2"/>
    <s v="OFF-AP-10002191"/>
    <x v="0"/>
    <x v="14"/>
    <x v="382"/>
    <n v="143.952"/>
    <x v="2"/>
    <x v="1"/>
    <n v="14.395200000000001"/>
    <x v="1"/>
    <x v="8"/>
    <x v="8"/>
  </r>
  <r>
    <n v="142"/>
    <s v="CA-2017-106180"/>
    <x v="340"/>
    <d v="2017-09-23T00:00:00"/>
    <x v="1"/>
    <s v="SH-19975"/>
    <s v="Sally Hughsby"/>
    <x v="0"/>
    <x v="0"/>
    <s v="San Francisco"/>
    <x v="7"/>
    <n v="94122"/>
    <x v="1"/>
    <s v="OFF-AR-10000940"/>
    <x v="0"/>
    <x v="3"/>
    <x v="383"/>
    <n v="8.82"/>
    <x v="2"/>
    <x v="0"/>
    <n v="2.3814000000000002"/>
    <x v="1"/>
    <x v="8"/>
    <x v="8"/>
  </r>
  <r>
    <n v="141"/>
    <s v="CA-2016-110366"/>
    <x v="311"/>
    <d v="2016-09-07T00:00:00"/>
    <x v="0"/>
    <s v="JD-15895"/>
    <s v="Jonathan Doherty"/>
    <x v="0"/>
    <x v="0"/>
    <s v="Philadelphia"/>
    <x v="31"/>
    <n v="19140"/>
    <x v="2"/>
    <s v="FUR-FU-10004848"/>
    <x v="2"/>
    <x v="5"/>
    <x v="384"/>
    <n v="82.8"/>
    <x v="0"/>
    <x v="1"/>
    <n v="10.35"/>
    <x v="0"/>
    <x v="8"/>
    <x v="8"/>
  </r>
  <r>
    <n v="2671"/>
    <s v="CA-2014-126403"/>
    <x v="341"/>
    <d v="2014-09-12T00:00:00"/>
    <x v="0"/>
    <s v="RR-19525"/>
    <s v="Rick Reed"/>
    <x v="0"/>
    <x v="0"/>
    <s v="Lowell"/>
    <x v="37"/>
    <n v="1852"/>
    <x v="2"/>
    <s v="OFF-PA-10001144"/>
    <x v="0"/>
    <x v="9"/>
    <x v="385"/>
    <n v="166.44"/>
    <x v="2"/>
    <x v="0"/>
    <n v="79.891199999999998"/>
    <x v="3"/>
    <x v="8"/>
    <x v="8"/>
  </r>
  <r>
    <n v="126"/>
    <s v="US-2014-134614"/>
    <x v="334"/>
    <d v="2014-09-25T00:00:00"/>
    <x v="1"/>
    <s v="PF-19165"/>
    <s v="Philip Fox"/>
    <x v="2"/>
    <x v="0"/>
    <s v="Bloomington"/>
    <x v="5"/>
    <n v="61701"/>
    <x v="3"/>
    <s v="FUR-TA-10004534"/>
    <x v="2"/>
    <x v="6"/>
    <x v="142"/>
    <n v="617.70000000000005"/>
    <x v="7"/>
    <x v="3"/>
    <n v="-407.68200000000002"/>
    <x v="1"/>
    <x v="8"/>
    <x v="8"/>
  </r>
  <r>
    <n v="99"/>
    <s v="CA-2016-149223"/>
    <x v="342"/>
    <d v="2016-09-11T00:00:00"/>
    <x v="1"/>
    <s v="ER-13855"/>
    <s v="Elpida Rittenbach"/>
    <x v="0"/>
    <x v="0"/>
    <s v="Saint Paul"/>
    <x v="10"/>
    <n v="55106"/>
    <x v="3"/>
    <s v="OFF-AP-10000358"/>
    <x v="0"/>
    <x v="14"/>
    <x v="386"/>
    <n v="77.88"/>
    <x v="7"/>
    <x v="0"/>
    <n v="22.5852"/>
    <x v="1"/>
    <x v="8"/>
    <x v="8"/>
  </r>
  <r>
    <n v="537"/>
    <s v="US-2017-122637"/>
    <x v="343"/>
    <d v="2017-09-08T00:00:00"/>
    <x v="0"/>
    <s v="EP-13915"/>
    <s v="Emily Phan"/>
    <x v="2"/>
    <x v="0"/>
    <s v="Chicago"/>
    <x v="5"/>
    <n v="60653"/>
    <x v="3"/>
    <s v="OFF-BI-10002429"/>
    <x v="0"/>
    <x v="10"/>
    <x v="387"/>
    <n v="42.616"/>
    <x v="4"/>
    <x v="6"/>
    <n v="-68.185599999999994"/>
    <x v="1"/>
    <x v="8"/>
    <x v="8"/>
  </r>
  <r>
    <n v="231"/>
    <s v="US-2014-156216"/>
    <x v="344"/>
    <d v="2014-09-17T00:00:00"/>
    <x v="1"/>
    <s v="EA-14035"/>
    <s v="Erin Ashbrook"/>
    <x v="0"/>
    <x v="0"/>
    <s v="Charlotte"/>
    <x v="8"/>
    <n v="28205"/>
    <x v="0"/>
    <s v="OFF-BI-10001679"/>
    <x v="0"/>
    <x v="10"/>
    <x v="388"/>
    <n v="18.648"/>
    <x v="4"/>
    <x v="7"/>
    <n v="-12.432"/>
    <x v="2"/>
    <x v="8"/>
    <x v="8"/>
  </r>
  <r>
    <n v="1382"/>
    <s v="US-2016-100566"/>
    <x v="345"/>
    <d v="2016-09-09T00:00:00"/>
    <x v="1"/>
    <s v="JK-16120"/>
    <s v="Julie Kriz"/>
    <x v="1"/>
    <x v="0"/>
    <s v="Aurora"/>
    <x v="5"/>
    <n v="60505"/>
    <x v="3"/>
    <s v="FUR-FU-10003394"/>
    <x v="2"/>
    <x v="5"/>
    <x v="389"/>
    <n v="83.951999999999998"/>
    <x v="2"/>
    <x v="4"/>
    <n v="-90.248400000000004"/>
    <x v="4"/>
    <x v="8"/>
    <x v="8"/>
  </r>
  <r>
    <n v="1069"/>
    <s v="US-2017-139955"/>
    <x v="346"/>
    <d v="2017-09-30T00:00:00"/>
    <x v="0"/>
    <s v="CM-12160"/>
    <s v="Charles McCrossin"/>
    <x v="2"/>
    <x v="0"/>
    <s v="Brownsville"/>
    <x v="11"/>
    <n v="78521"/>
    <x v="3"/>
    <s v="OFF-SU-10001935"/>
    <x v="0"/>
    <x v="16"/>
    <x v="215"/>
    <n v="1.744"/>
    <x v="1"/>
    <x v="1"/>
    <n v="-0.3488"/>
    <x v="0"/>
    <x v="8"/>
    <x v="8"/>
  </r>
  <r>
    <n v="760"/>
    <s v="CA-2017-133333"/>
    <x v="340"/>
    <d v="2017-09-22T00:00:00"/>
    <x v="1"/>
    <s v="BF-11020"/>
    <s v="Barry Französisch"/>
    <x v="0"/>
    <x v="0"/>
    <s v="Green Bay"/>
    <x v="16"/>
    <n v="54302"/>
    <x v="3"/>
    <s v="OFF-PA-10002377"/>
    <x v="0"/>
    <x v="9"/>
    <x v="390"/>
    <n v="22.72"/>
    <x v="6"/>
    <x v="0"/>
    <n v="10.224"/>
    <x v="2"/>
    <x v="8"/>
    <x v="8"/>
  </r>
  <r>
    <n v="1077"/>
    <s v="CA-2016-161781"/>
    <x v="309"/>
    <d v="2016-09-30T00:00:00"/>
    <x v="2"/>
    <s v="CC-12100"/>
    <s v="Chad Cunningham"/>
    <x v="1"/>
    <x v="0"/>
    <s v="Columbus"/>
    <x v="29"/>
    <n v="47201"/>
    <x v="3"/>
    <s v="OFF-AR-10000255"/>
    <x v="0"/>
    <x v="3"/>
    <x v="391"/>
    <n v="40.880000000000003"/>
    <x v="4"/>
    <x v="0"/>
    <n v="10.6288"/>
    <x v="7"/>
    <x v="8"/>
    <x v="8"/>
  </r>
  <r>
    <n v="1078"/>
    <s v="CA-2017-132521"/>
    <x v="338"/>
    <d v="2017-09-25T00:00:00"/>
    <x v="0"/>
    <s v="DW-13540"/>
    <s v="Don Weiss"/>
    <x v="2"/>
    <x v="0"/>
    <s v="Seattle"/>
    <x v="2"/>
    <n v="98105"/>
    <x v="1"/>
    <s v="OFF-AP-10002191"/>
    <x v="0"/>
    <x v="14"/>
    <x v="382"/>
    <n v="119.96"/>
    <x v="0"/>
    <x v="0"/>
    <n v="33.588799999999999"/>
    <x v="0"/>
    <x v="8"/>
    <x v="8"/>
  </r>
  <r>
    <n v="1118"/>
    <s v="CA-2015-142755"/>
    <x v="347"/>
    <d v="2015-09-08T00:00:00"/>
    <x v="1"/>
    <s v="CS-12355"/>
    <s v="Christine Sundaresam"/>
    <x v="2"/>
    <x v="0"/>
    <s v="Roswell"/>
    <x v="4"/>
    <n v="30076"/>
    <x v="0"/>
    <s v="OFF-PA-10001970"/>
    <x v="0"/>
    <x v="9"/>
    <x v="392"/>
    <n v="279.89999999999998"/>
    <x v="3"/>
    <x v="0"/>
    <n v="137.15100000000001"/>
    <x v="2"/>
    <x v="8"/>
    <x v="8"/>
  </r>
  <r>
    <n v="392"/>
    <s v="US-2014-135972"/>
    <x v="348"/>
    <d v="2014-09-23T00:00:00"/>
    <x v="0"/>
    <s v="JG-15115"/>
    <s v="Jack Garza"/>
    <x v="2"/>
    <x v="0"/>
    <s v="Des Moines"/>
    <x v="2"/>
    <n v="98198"/>
    <x v="1"/>
    <s v="TEC-PH-10003012"/>
    <x v="1"/>
    <x v="7"/>
    <x v="122"/>
    <n v="246.38399999999999"/>
    <x v="0"/>
    <x v="1"/>
    <n v="27.7182"/>
    <x v="0"/>
    <x v="8"/>
    <x v="8"/>
  </r>
  <r>
    <n v="1162"/>
    <s v="CA-2014-126522"/>
    <x v="316"/>
    <d v="2014-09-05T00:00:00"/>
    <x v="0"/>
    <s v="LT-16765"/>
    <s v="Larry Tron"/>
    <x v="2"/>
    <x v="0"/>
    <s v="Escondido"/>
    <x v="7"/>
    <n v="92025"/>
    <x v="1"/>
    <s v="OFF-AR-10004042"/>
    <x v="0"/>
    <x v="3"/>
    <x v="393"/>
    <n v="53.94"/>
    <x v="2"/>
    <x v="0"/>
    <n v="15.6426"/>
    <x v="2"/>
    <x v="8"/>
    <x v="8"/>
  </r>
  <r>
    <n v="439"/>
    <s v="CA-2017-130043"/>
    <x v="305"/>
    <d v="2017-09-19T00:00:00"/>
    <x v="1"/>
    <s v="BB-11545"/>
    <s v="Brenda Bowman"/>
    <x v="0"/>
    <x v="0"/>
    <s v="Houston"/>
    <x v="11"/>
    <n v="77070"/>
    <x v="3"/>
    <s v="OFF-PA-10002230"/>
    <x v="0"/>
    <x v="9"/>
    <x v="394"/>
    <n v="31.872"/>
    <x v="5"/>
    <x v="1"/>
    <n v="11.553599999999999"/>
    <x v="2"/>
    <x v="8"/>
    <x v="8"/>
  </r>
  <r>
    <n v="335"/>
    <s v="CA-2015-137946"/>
    <x v="327"/>
    <d v="2015-09-04T00:00:00"/>
    <x v="0"/>
    <s v="DB-13615"/>
    <s v="Doug Bickford"/>
    <x v="2"/>
    <x v="0"/>
    <s v="Los Angeles"/>
    <x v="7"/>
    <n v="90045"/>
    <x v="1"/>
    <s v="OFF-BI-10001922"/>
    <x v="0"/>
    <x v="10"/>
    <x v="395"/>
    <n v="4.7519999999999998"/>
    <x v="1"/>
    <x v="1"/>
    <n v="1.6037999999999999"/>
    <x v="3"/>
    <x v="8"/>
    <x v="8"/>
  </r>
  <r>
    <n v="1213"/>
    <s v="US-2017-118087"/>
    <x v="349"/>
    <d v="2017-09-13T00:00:00"/>
    <x v="1"/>
    <s v="SP-20620"/>
    <s v="Stefania Perrino"/>
    <x v="0"/>
    <x v="0"/>
    <s v="Philadelphia"/>
    <x v="31"/>
    <n v="19134"/>
    <x v="2"/>
    <s v="FUR-CH-10004860"/>
    <x v="2"/>
    <x v="13"/>
    <x v="37"/>
    <n v="141.37200000000001"/>
    <x v="0"/>
    <x v="8"/>
    <n v="-48.470399999999998"/>
    <x v="2"/>
    <x v="8"/>
    <x v="8"/>
  </r>
  <r>
    <n v="323"/>
    <s v="CA-2014-156601"/>
    <x v="306"/>
    <d v="2014-09-24T00:00:00"/>
    <x v="1"/>
    <s v="FA-14230"/>
    <s v="Frank Atkinson"/>
    <x v="0"/>
    <x v="0"/>
    <s v="Long Beach"/>
    <x v="7"/>
    <n v="90805"/>
    <x v="1"/>
    <s v="OFF-FA-10000624"/>
    <x v="0"/>
    <x v="12"/>
    <x v="396"/>
    <n v="7.16"/>
    <x v="0"/>
    <x v="0"/>
    <n v="3.58"/>
    <x v="1"/>
    <x v="8"/>
    <x v="8"/>
  </r>
  <r>
    <n v="705"/>
    <s v="CA-2014-138527"/>
    <x v="315"/>
    <d v="2014-09-17T00:00:00"/>
    <x v="1"/>
    <s v="BN-11470"/>
    <s v="Brad Norvell"/>
    <x v="0"/>
    <x v="0"/>
    <s v="Cary"/>
    <x v="8"/>
    <n v="27511"/>
    <x v="0"/>
    <s v="OFF-PA-10001800"/>
    <x v="0"/>
    <x v="9"/>
    <x v="354"/>
    <n v="10.368"/>
    <x v="0"/>
    <x v="1"/>
    <n v="3.6288"/>
    <x v="1"/>
    <x v="8"/>
    <x v="8"/>
  </r>
  <r>
    <n v="492"/>
    <s v="CA-2014-113362"/>
    <x v="333"/>
    <d v="2014-09-19T00:00:00"/>
    <x v="1"/>
    <s v="AJ-10960"/>
    <s v="Astrea Jones"/>
    <x v="2"/>
    <x v="0"/>
    <s v="Rochester"/>
    <x v="20"/>
    <n v="14609"/>
    <x v="2"/>
    <s v="OFF-ST-10001809"/>
    <x v="0"/>
    <x v="2"/>
    <x v="61"/>
    <n v="449.15"/>
    <x v="3"/>
    <x v="0"/>
    <n v="8.9830000000000005"/>
    <x v="1"/>
    <x v="8"/>
    <x v="8"/>
  </r>
  <r>
    <n v="658"/>
    <s v="US-2016-156097"/>
    <x v="329"/>
    <d v="2016-09-19T00:00:00"/>
    <x v="3"/>
    <s v="EH-14125"/>
    <s v="Eugene Hildebrand"/>
    <x v="1"/>
    <x v="0"/>
    <s v="Aurora"/>
    <x v="5"/>
    <n v="60505"/>
    <x v="3"/>
    <s v="FUR-CH-10001215"/>
    <x v="2"/>
    <x v="13"/>
    <x v="397"/>
    <n v="701.37199999999996"/>
    <x v="0"/>
    <x v="8"/>
    <n v="-50.097999999999999"/>
    <x v="6"/>
    <x v="8"/>
    <x v="8"/>
  </r>
  <r>
    <n v="1266"/>
    <s v="CA-2017-110380"/>
    <x v="328"/>
    <d v="2017-09-07T00:00:00"/>
    <x v="1"/>
    <s v="PF-19225"/>
    <s v="Phillip Flathmann"/>
    <x v="2"/>
    <x v="0"/>
    <s v="San Francisco"/>
    <x v="7"/>
    <n v="94122"/>
    <x v="1"/>
    <s v="OFF-AR-10000422"/>
    <x v="0"/>
    <x v="3"/>
    <x v="398"/>
    <n v="6.57"/>
    <x v="2"/>
    <x v="0"/>
    <n v="1.7739"/>
    <x v="1"/>
    <x v="8"/>
    <x v="8"/>
  </r>
  <r>
    <n v="314"/>
    <s v="CA-2014-120887"/>
    <x v="350"/>
    <d v="2014-10-03T00:00:00"/>
    <x v="1"/>
    <s v="TS-21205"/>
    <s v="Thomas Seio"/>
    <x v="0"/>
    <x v="0"/>
    <s v="Hackensack"/>
    <x v="18"/>
    <n v="7601"/>
    <x v="2"/>
    <s v="FUR-FU-10001588"/>
    <x v="2"/>
    <x v="5"/>
    <x v="289"/>
    <n v="87.54"/>
    <x v="2"/>
    <x v="0"/>
    <n v="37.642200000000003"/>
    <x v="4"/>
    <x v="8"/>
    <x v="8"/>
  </r>
  <r>
    <n v="712"/>
    <s v="CA-2017-146136"/>
    <x v="343"/>
    <d v="2017-09-07T00:00:00"/>
    <x v="1"/>
    <s v="AP-10915"/>
    <s v="Arthur Prichep"/>
    <x v="2"/>
    <x v="0"/>
    <s v="Palm Coast"/>
    <x v="22"/>
    <n v="32137"/>
    <x v="0"/>
    <s v="OFF-EN-10001219"/>
    <x v="0"/>
    <x v="0"/>
    <x v="399"/>
    <n v="24.448"/>
    <x v="6"/>
    <x v="1"/>
    <n v="8.8623999999999992"/>
    <x v="2"/>
    <x v="8"/>
    <x v="8"/>
  </r>
  <r>
    <n v="627"/>
    <s v="CA-2017-163020"/>
    <x v="305"/>
    <d v="2017-09-19T00:00:00"/>
    <x v="1"/>
    <s v="MO-17800"/>
    <s v="Meg O'Connel"/>
    <x v="1"/>
    <x v="0"/>
    <s v="New York City"/>
    <x v="20"/>
    <n v="10009"/>
    <x v="2"/>
    <s v="FUR-FU-10000221"/>
    <x v="2"/>
    <x v="5"/>
    <x v="400"/>
    <n v="35.56"/>
    <x v="4"/>
    <x v="0"/>
    <n v="12.090400000000001"/>
    <x v="2"/>
    <x v="8"/>
    <x v="8"/>
  </r>
  <r>
    <n v="350"/>
    <s v="CA-2016-129714"/>
    <x v="351"/>
    <d v="2016-09-03T00:00:00"/>
    <x v="2"/>
    <s v="AB-10060"/>
    <s v="Adam Bellavance"/>
    <x v="1"/>
    <x v="0"/>
    <s v="New York City"/>
    <x v="20"/>
    <n v="10009"/>
    <x v="2"/>
    <s v="TEC-AC-10000290"/>
    <x v="1"/>
    <x v="4"/>
    <x v="401"/>
    <n v="6.79"/>
    <x v="1"/>
    <x v="0"/>
    <n v="2.3086000000000002"/>
    <x v="0"/>
    <x v="8"/>
    <x v="8"/>
  </r>
  <r>
    <n v="1042"/>
    <s v="CA-2016-102981"/>
    <x v="342"/>
    <d v="2016-09-09T00:00:00"/>
    <x v="0"/>
    <s v="MO-17500"/>
    <s v="Mary O'Rourke"/>
    <x v="2"/>
    <x v="0"/>
    <s v="New York City"/>
    <x v="20"/>
    <n v="10035"/>
    <x v="2"/>
    <s v="TEC-AC-10004761"/>
    <x v="1"/>
    <x v="4"/>
    <x v="402"/>
    <n v="31.86"/>
    <x v="0"/>
    <x v="0"/>
    <n v="11.151"/>
    <x v="3"/>
    <x v="8"/>
    <x v="8"/>
  </r>
  <r>
    <n v="910"/>
    <s v="CA-2017-137596"/>
    <x v="328"/>
    <d v="2017-09-07T00:00:00"/>
    <x v="1"/>
    <s v="BE-11335"/>
    <s v="Bill Eplett"/>
    <x v="1"/>
    <x v="0"/>
    <s v="Jackson"/>
    <x v="13"/>
    <n v="49201"/>
    <x v="3"/>
    <s v="TEC-PH-10001494"/>
    <x v="1"/>
    <x v="7"/>
    <x v="403"/>
    <n v="1199.8"/>
    <x v="6"/>
    <x v="0"/>
    <n v="323.94600000000003"/>
    <x v="1"/>
    <x v="8"/>
    <x v="8"/>
  </r>
  <r>
    <n v="898"/>
    <s v="CA-2014-144407"/>
    <x v="341"/>
    <d v="2014-09-15T00:00:00"/>
    <x v="1"/>
    <s v="MS-17365"/>
    <s v="Maribeth Schnelling"/>
    <x v="2"/>
    <x v="0"/>
    <s v="Detroit"/>
    <x v="13"/>
    <n v="48227"/>
    <x v="3"/>
    <s v="OFF-LA-10003923"/>
    <x v="0"/>
    <x v="1"/>
    <x v="203"/>
    <n v="103.6"/>
    <x v="4"/>
    <x v="0"/>
    <n v="51.8"/>
    <x v="4"/>
    <x v="8"/>
    <x v="8"/>
  </r>
  <r>
    <n v="925"/>
    <s v="CA-2016-149797"/>
    <x v="352"/>
    <d v="2016-09-20T00:00:00"/>
    <x v="1"/>
    <s v="AH-10075"/>
    <s v="Adam Hart"/>
    <x v="0"/>
    <x v="0"/>
    <s v="New York City"/>
    <x v="20"/>
    <n v="10011"/>
    <x v="2"/>
    <s v="OFF-BI-10003650"/>
    <x v="0"/>
    <x v="10"/>
    <x v="139"/>
    <n v="841.56799999999998"/>
    <x v="0"/>
    <x v="1"/>
    <n v="294.54880000000003"/>
    <x v="1"/>
    <x v="8"/>
    <x v="8"/>
  </r>
  <r>
    <n v="879"/>
    <s v="US-2014-158638"/>
    <x v="353"/>
    <d v="2014-09-21T00:00:00"/>
    <x v="1"/>
    <s v="AG-10765"/>
    <s v="Anthony Garverick"/>
    <x v="1"/>
    <x v="0"/>
    <s v="Philadelphia"/>
    <x v="31"/>
    <n v="19120"/>
    <x v="2"/>
    <s v="OFF-BI-10003712"/>
    <x v="0"/>
    <x v="10"/>
    <x v="151"/>
    <n v="5.8920000000000003"/>
    <x v="6"/>
    <x v="7"/>
    <n v="-4.1243999999999996"/>
    <x v="2"/>
    <x v="8"/>
    <x v="8"/>
  </r>
  <r>
    <n v="926"/>
    <s v="CA-2014-132962"/>
    <x v="344"/>
    <d v="2014-09-16T00:00:00"/>
    <x v="2"/>
    <s v="JM-15535"/>
    <s v="Jessica Myrick"/>
    <x v="2"/>
    <x v="0"/>
    <s v="Philadelphia"/>
    <x v="31"/>
    <n v="19143"/>
    <x v="2"/>
    <s v="OFF-PA-10003543"/>
    <x v="0"/>
    <x v="9"/>
    <x v="146"/>
    <n v="15.552"/>
    <x v="2"/>
    <x v="1"/>
    <n v="5.4432"/>
    <x v="3"/>
    <x v="8"/>
    <x v="8"/>
  </r>
  <r>
    <n v="933"/>
    <s v="CA-2017-114216"/>
    <x v="328"/>
    <d v="2017-09-06T00:00:00"/>
    <x v="1"/>
    <s v="RK-19300"/>
    <s v="Ralph Kennedy"/>
    <x v="2"/>
    <x v="0"/>
    <s v="Philadelphia"/>
    <x v="31"/>
    <n v="19140"/>
    <x v="2"/>
    <s v="OFF-PA-10002195"/>
    <x v="0"/>
    <x v="9"/>
    <x v="404"/>
    <n v="12.192"/>
    <x v="2"/>
    <x v="1"/>
    <n v="4.1147999999999998"/>
    <x v="2"/>
    <x v="8"/>
    <x v="8"/>
  </r>
  <r>
    <n v="870"/>
    <s v="CA-2016-158099"/>
    <x v="345"/>
    <d v="2016-09-05T00:00:00"/>
    <x v="2"/>
    <s v="PK-18910"/>
    <s v="Paul Knutson"/>
    <x v="1"/>
    <x v="0"/>
    <s v="Philadelphia"/>
    <x v="31"/>
    <n v="19143"/>
    <x v="2"/>
    <s v="OFF-BI-10000545"/>
    <x v="0"/>
    <x v="10"/>
    <x v="405"/>
    <n v="1141.47"/>
    <x v="3"/>
    <x v="7"/>
    <n v="-760.98"/>
    <x v="0"/>
    <x v="8"/>
    <x v="8"/>
  </r>
  <r>
    <n v="362"/>
    <s v="CA-2017-144904"/>
    <x v="330"/>
    <d v="2017-10-01T00:00:00"/>
    <x v="1"/>
    <s v="KW-16435"/>
    <s v="Katrina Willman"/>
    <x v="2"/>
    <x v="0"/>
    <s v="New York City"/>
    <x v="20"/>
    <n v="10009"/>
    <x v="2"/>
    <s v="OFF-LA-10001158"/>
    <x v="0"/>
    <x v="1"/>
    <x v="406"/>
    <n v="20.7"/>
    <x v="0"/>
    <x v="0"/>
    <n v="9.9359999999999999"/>
    <x v="4"/>
    <x v="8"/>
    <x v="8"/>
  </r>
  <r>
    <n v="868"/>
    <s v="CA-2016-134362"/>
    <x v="309"/>
    <d v="2016-10-02T00:00:00"/>
    <x v="2"/>
    <s v="LS-16945"/>
    <s v="Linda Southworth"/>
    <x v="0"/>
    <x v="0"/>
    <s v="Philadelphia"/>
    <x v="31"/>
    <n v="19140"/>
    <x v="2"/>
    <s v="OFF-LA-10004853"/>
    <x v="0"/>
    <x v="1"/>
    <x v="407"/>
    <n v="15.936"/>
    <x v="6"/>
    <x v="1"/>
    <n v="5.1791999999999998"/>
    <x v="3"/>
    <x v="8"/>
    <x v="8"/>
  </r>
  <r>
    <n v="399"/>
    <s v="CA-2016-108987"/>
    <x v="323"/>
    <d v="2016-09-10T00:00:00"/>
    <x v="0"/>
    <s v="AG-10675"/>
    <s v="Anna Gayman"/>
    <x v="2"/>
    <x v="0"/>
    <s v="Houston"/>
    <x v="11"/>
    <n v="77036"/>
    <x v="3"/>
    <s v="OFF-ST-10001580"/>
    <x v="0"/>
    <x v="2"/>
    <x v="162"/>
    <n v="35.951999999999998"/>
    <x v="2"/>
    <x v="1"/>
    <n v="3.5952000000000002"/>
    <x v="0"/>
    <x v="8"/>
    <x v="8"/>
  </r>
  <r>
    <n v="985"/>
    <s v="CA-2017-100314"/>
    <x v="354"/>
    <d v="2017-10-05T00:00:00"/>
    <x v="1"/>
    <s v="AS-10630"/>
    <s v="Ann Steele"/>
    <x v="1"/>
    <x v="0"/>
    <s v="Pasadena"/>
    <x v="11"/>
    <n v="77506"/>
    <x v="3"/>
    <s v="OFF-LA-10001569"/>
    <x v="0"/>
    <x v="1"/>
    <x v="347"/>
    <n v="7.968"/>
    <x v="0"/>
    <x v="1"/>
    <n v="2.5895999999999999"/>
    <x v="4"/>
    <x v="8"/>
    <x v="8"/>
  </r>
  <r>
    <n v="377"/>
    <s v="US-2016-134656"/>
    <x v="355"/>
    <d v="2016-10-01T00:00:00"/>
    <x v="2"/>
    <s v="MM-18280"/>
    <s v="Muhammed MacIntyre"/>
    <x v="0"/>
    <x v="0"/>
    <s v="Quincy"/>
    <x v="5"/>
    <n v="62301"/>
    <x v="3"/>
    <s v="OFF-PA-10003039"/>
    <x v="0"/>
    <x v="9"/>
    <x v="408"/>
    <n v="99.135999999999996"/>
    <x v="6"/>
    <x v="1"/>
    <n v="30.98"/>
    <x v="3"/>
    <x v="8"/>
    <x v="8"/>
  </r>
  <r>
    <n v="428"/>
    <s v="CA-2014-101476"/>
    <x v="315"/>
    <d v="2014-09-13T00:00:00"/>
    <x v="2"/>
    <s v="SD-20485"/>
    <s v="Shirley Daniels"/>
    <x v="1"/>
    <x v="0"/>
    <s v="New Rochelle"/>
    <x v="20"/>
    <n v="10801"/>
    <x v="2"/>
    <s v="TEC-MA-10000029"/>
    <x v="1"/>
    <x v="11"/>
    <x v="409"/>
    <n v="69.989999999999995"/>
    <x v="1"/>
    <x v="0"/>
    <n v="30.095700000000001"/>
    <x v="7"/>
    <x v="8"/>
    <x v="8"/>
  </r>
  <r>
    <n v="796"/>
    <s v="CA-2017-151428"/>
    <x v="324"/>
    <d v="2017-09-26T00:00:00"/>
    <x v="1"/>
    <s v="RH-19495"/>
    <s v="Rick Hansen"/>
    <x v="2"/>
    <x v="0"/>
    <s v="Rochester"/>
    <x v="10"/>
    <n v="55901"/>
    <x v="3"/>
    <s v="OFF-BI-10000546"/>
    <x v="0"/>
    <x v="10"/>
    <x v="410"/>
    <n v="20.16"/>
    <x v="4"/>
    <x v="0"/>
    <n v="9.8783999999999992"/>
    <x v="1"/>
    <x v="8"/>
    <x v="8"/>
  </r>
  <r>
    <n v="794"/>
    <s v="CA-2014-156433"/>
    <x v="334"/>
    <d v="2014-09-26T00:00:00"/>
    <x v="1"/>
    <s v="ES-14020"/>
    <s v="Erica Smith"/>
    <x v="2"/>
    <x v="0"/>
    <s v="San Francisco"/>
    <x v="7"/>
    <n v="94110"/>
    <x v="1"/>
    <s v="OFF-LA-10001569"/>
    <x v="0"/>
    <x v="1"/>
    <x v="347"/>
    <n v="9.9600000000000009"/>
    <x v="0"/>
    <x v="0"/>
    <n v="4.5815999999999999"/>
    <x v="4"/>
    <x v="8"/>
    <x v="8"/>
  </r>
  <r>
    <n v="366"/>
    <s v="CA-2014-123344"/>
    <x v="356"/>
    <d v="2014-09-29T00:00:00"/>
    <x v="1"/>
    <s v="JD-16060"/>
    <s v="Julia Dunbar"/>
    <x v="2"/>
    <x v="0"/>
    <s v="San Francisco"/>
    <x v="7"/>
    <n v="94109"/>
    <x v="1"/>
    <s v="OFF-ST-10001713"/>
    <x v="0"/>
    <x v="2"/>
    <x v="299"/>
    <n v="211.96"/>
    <x v="6"/>
    <x v="0"/>
    <n v="8.4784000000000006"/>
    <x v="1"/>
    <x v="8"/>
    <x v="8"/>
  </r>
  <r>
    <n v="960"/>
    <s v="CA-2015-112571"/>
    <x v="357"/>
    <d v="2015-09-22T00:00:00"/>
    <x v="3"/>
    <s v="DL-12925"/>
    <s v="Daniel Lacy"/>
    <x v="2"/>
    <x v="0"/>
    <s v="Oceanside"/>
    <x v="7"/>
    <n v="92054"/>
    <x v="1"/>
    <s v="FUR-FU-10004188"/>
    <x v="2"/>
    <x v="5"/>
    <x v="411"/>
    <n v="204.6"/>
    <x v="0"/>
    <x v="0"/>
    <n v="53.195999999999998"/>
    <x v="6"/>
    <x v="8"/>
    <x v="8"/>
  </r>
  <r>
    <n v="613"/>
    <s v="CA-2016-121223"/>
    <x v="307"/>
    <d v="2016-09-13T00:00:00"/>
    <x v="0"/>
    <s v="GD-14590"/>
    <s v="Giulietta Dortch"/>
    <x v="0"/>
    <x v="0"/>
    <s v="Philadelphia"/>
    <x v="31"/>
    <n v="19143"/>
    <x v="2"/>
    <s v="OFF-PA-10001204"/>
    <x v="0"/>
    <x v="9"/>
    <x v="412"/>
    <n v="8.4480000000000004"/>
    <x v="0"/>
    <x v="1"/>
    <n v="2.64"/>
    <x v="0"/>
    <x v="8"/>
    <x v="8"/>
  </r>
  <r>
    <n v="726"/>
    <s v="CA-2017-144113"/>
    <x v="358"/>
    <d v="2017-09-20T00:00:00"/>
    <x v="1"/>
    <s v="JF-15355"/>
    <s v="Jay Fein"/>
    <x v="2"/>
    <x v="0"/>
    <s v="Austin"/>
    <x v="11"/>
    <n v="78745"/>
    <x v="3"/>
    <s v="OFF-EN-10001141"/>
    <x v="0"/>
    <x v="0"/>
    <x v="413"/>
    <n v="17.568000000000001"/>
    <x v="0"/>
    <x v="1"/>
    <n v="6.3684000000000003"/>
    <x v="2"/>
    <x v="8"/>
    <x v="8"/>
  </r>
  <r>
    <n v="581"/>
    <s v="CA-2015-132906"/>
    <x v="359"/>
    <d v="2015-09-14T00:00:00"/>
    <x v="1"/>
    <s v="CC-12145"/>
    <s v="Charles Crestani"/>
    <x v="2"/>
    <x v="0"/>
    <s v="Los Angeles"/>
    <x v="7"/>
    <n v="90004"/>
    <x v="1"/>
    <s v="OFF-SU-10004498"/>
    <x v="0"/>
    <x v="16"/>
    <x v="318"/>
    <n v="51.52"/>
    <x v="6"/>
    <x v="0"/>
    <n v="1.5456000000000001"/>
    <x v="2"/>
    <x v="8"/>
    <x v="8"/>
  </r>
  <r>
    <n v="533"/>
    <s v="US-2017-129441"/>
    <x v="360"/>
    <d v="2017-09-11T00:00:00"/>
    <x v="1"/>
    <s v="JC-15340"/>
    <s v="Jasper Cacioppo"/>
    <x v="2"/>
    <x v="0"/>
    <s v="Los Angeles"/>
    <x v="7"/>
    <n v="90032"/>
    <x v="1"/>
    <s v="FUR-FU-10000448"/>
    <x v="2"/>
    <x v="5"/>
    <x v="414"/>
    <n v="47.94"/>
    <x v="2"/>
    <x v="0"/>
    <n v="2.3969999999999998"/>
    <x v="2"/>
    <x v="8"/>
    <x v="8"/>
  </r>
  <r>
    <n v="275"/>
    <s v="CA-2017-118136"/>
    <x v="358"/>
    <d v="2017-09-17T00:00:00"/>
    <x v="2"/>
    <s v="BB-10990"/>
    <s v="Barry Blumstein"/>
    <x v="0"/>
    <x v="0"/>
    <s v="Inglewood"/>
    <x v="7"/>
    <n v="90301"/>
    <x v="1"/>
    <s v="OFF-PA-10002615"/>
    <x v="0"/>
    <x v="9"/>
    <x v="415"/>
    <n v="8.82"/>
    <x v="0"/>
    <x v="0"/>
    <n v="4.0571999999999999"/>
    <x v="7"/>
    <x v="8"/>
    <x v="8"/>
  </r>
  <r>
    <n v="576"/>
    <s v="CA-2015-149713"/>
    <x v="361"/>
    <d v="2015-09-22T00:00:00"/>
    <x v="0"/>
    <s v="TG-21640"/>
    <s v="Trudy Glocke"/>
    <x v="2"/>
    <x v="0"/>
    <s v="Long Beach"/>
    <x v="7"/>
    <n v="90805"/>
    <x v="1"/>
    <s v="OFF-PA-10004530"/>
    <x v="0"/>
    <x v="9"/>
    <x v="416"/>
    <n v="160.72"/>
    <x v="10"/>
    <x v="0"/>
    <n v="78.752799999999993"/>
    <x v="2"/>
    <x v="8"/>
    <x v="8"/>
  </r>
  <r>
    <n v="529"/>
    <s v="US-2015-138303"/>
    <x v="314"/>
    <d v="2015-09-07T00:00:00"/>
    <x v="1"/>
    <s v="MG-18145"/>
    <s v="Mike Gockenbach"/>
    <x v="2"/>
    <x v="0"/>
    <s v="Philadelphia"/>
    <x v="31"/>
    <n v="19134"/>
    <x v="2"/>
    <s v="OFF-ST-10004963"/>
    <x v="0"/>
    <x v="2"/>
    <x v="417"/>
    <n v="36.335999999999999"/>
    <x v="2"/>
    <x v="1"/>
    <n v="-7.2671999999999999"/>
    <x v="2"/>
    <x v="8"/>
    <x v="8"/>
  </r>
  <r>
    <n v="1303"/>
    <s v="CA-2015-115847"/>
    <x v="362"/>
    <d v="2015-09-24T00:00:00"/>
    <x v="0"/>
    <s v="TC-21535"/>
    <s v="Tracy Collins"/>
    <x v="1"/>
    <x v="0"/>
    <s v="Arlington"/>
    <x v="1"/>
    <n v="22204"/>
    <x v="0"/>
    <s v="FUR-BO-10003433"/>
    <x v="2"/>
    <x v="8"/>
    <x v="418"/>
    <n v="61.96"/>
    <x v="0"/>
    <x v="0"/>
    <n v="4.3372000000000002"/>
    <x v="1"/>
    <x v="8"/>
    <x v="8"/>
  </r>
  <r>
    <n v="310"/>
    <s v="CA-2016-142902"/>
    <x v="363"/>
    <d v="2016-09-14T00:00:00"/>
    <x v="0"/>
    <s v="BP-11185"/>
    <s v="Ben Peterman"/>
    <x v="0"/>
    <x v="0"/>
    <s v="Arvada"/>
    <x v="9"/>
    <n v="80004"/>
    <x v="1"/>
    <s v="FUR-FU-10001918"/>
    <x v="2"/>
    <x v="5"/>
    <x v="419"/>
    <n v="15.135999999999999"/>
    <x v="6"/>
    <x v="1"/>
    <n v="3.5948000000000002"/>
    <x v="0"/>
    <x v="8"/>
    <x v="8"/>
  </r>
  <r>
    <n v="1360"/>
    <s v="US-2014-151925"/>
    <x v="339"/>
    <d v="2014-10-01T00:00:00"/>
    <x v="0"/>
    <s v="KT-16465"/>
    <s v="Kean Takahito"/>
    <x v="2"/>
    <x v="0"/>
    <s v="Los Angeles"/>
    <x v="7"/>
    <n v="90049"/>
    <x v="1"/>
    <s v="FUR-CH-10002961"/>
    <x v="2"/>
    <x v="13"/>
    <x v="420"/>
    <n v="145.56800000000001"/>
    <x v="0"/>
    <x v="1"/>
    <n v="0"/>
    <x v="1"/>
    <x v="8"/>
    <x v="8"/>
  </r>
  <r>
    <n v="1325"/>
    <s v="CA-2014-107153"/>
    <x v="364"/>
    <d v="2014-10-03T00:00:00"/>
    <x v="1"/>
    <s v="GZ-14545"/>
    <s v="George Zrebassa"/>
    <x v="0"/>
    <x v="0"/>
    <s v="Lawrence"/>
    <x v="37"/>
    <n v="1841"/>
    <x v="2"/>
    <s v="OFF-ST-10001321"/>
    <x v="0"/>
    <x v="2"/>
    <x v="421"/>
    <n v="46.26"/>
    <x v="2"/>
    <x v="0"/>
    <n v="12.4902"/>
    <x v="1"/>
    <x v="8"/>
    <x v="8"/>
  </r>
  <r>
    <n v="562"/>
    <s v="CA-2014-145576"/>
    <x v="333"/>
    <d v="2014-09-18T00:00:00"/>
    <x v="0"/>
    <s v="CA-12775"/>
    <s v="Cynthia Arntzen"/>
    <x v="2"/>
    <x v="0"/>
    <s v="Tampa"/>
    <x v="22"/>
    <n v="33614"/>
    <x v="0"/>
    <s v="OFF-AP-10003914"/>
    <x v="0"/>
    <x v="14"/>
    <x v="422"/>
    <n v="13"/>
    <x v="3"/>
    <x v="1"/>
    <n v="1.3"/>
    <x v="2"/>
    <x v="8"/>
    <x v="8"/>
  </r>
  <r>
    <n v="997"/>
    <s v="CA-2015-162537"/>
    <x v="365"/>
    <d v="2015-11-03T00:00:00"/>
    <x v="1"/>
    <s v="RD-19585"/>
    <s v="Rob Dowd"/>
    <x v="2"/>
    <x v="0"/>
    <s v="Henderson"/>
    <x v="24"/>
    <n v="42420"/>
    <x v="0"/>
    <s v="OFF-EN-10003862"/>
    <x v="0"/>
    <x v="0"/>
    <x v="423"/>
    <n v="10.67"/>
    <x v="1"/>
    <x v="0"/>
    <n v="4.9081999999999999"/>
    <x v="4"/>
    <x v="9"/>
    <x v="9"/>
  </r>
  <r>
    <n v="423"/>
    <s v="CA-2017-125388"/>
    <x v="366"/>
    <d v="2017-10-23T00:00:00"/>
    <x v="1"/>
    <s v="MP-17965"/>
    <s v="Michael Paige"/>
    <x v="0"/>
    <x v="0"/>
    <s v="Lawrence"/>
    <x v="37"/>
    <n v="1841"/>
    <x v="2"/>
    <s v="FUR-FU-10004712"/>
    <x v="2"/>
    <x v="5"/>
    <x v="424"/>
    <n v="56.56"/>
    <x v="6"/>
    <x v="0"/>
    <n v="14.7056"/>
    <x v="2"/>
    <x v="9"/>
    <x v="9"/>
  </r>
  <r>
    <n v="7546"/>
    <s v="CA-2014-103492"/>
    <x v="367"/>
    <d v="2014-10-15T00:00:00"/>
    <x v="1"/>
    <s v="CM-12715"/>
    <s v="Craig Molinari"/>
    <x v="0"/>
    <x v="0"/>
    <s v="Huntsville"/>
    <x v="11"/>
    <n v="77340"/>
    <x v="3"/>
    <s v="TEC-PH-10001128"/>
    <x v="1"/>
    <x v="7"/>
    <x v="425"/>
    <n v="719.952"/>
    <x v="7"/>
    <x v="1"/>
    <n v="71.995199999999997"/>
    <x v="1"/>
    <x v="9"/>
    <x v="9"/>
  </r>
  <r>
    <n v="429"/>
    <s v="CA-2017-152275"/>
    <x v="368"/>
    <d v="2017-10-08T00:00:00"/>
    <x v="1"/>
    <s v="KH-16630"/>
    <s v="Ken Heidel"/>
    <x v="0"/>
    <x v="0"/>
    <s v="San Antonio"/>
    <x v="11"/>
    <n v="78207"/>
    <x v="3"/>
    <s v="OFF-AR-10000369"/>
    <x v="0"/>
    <x v="3"/>
    <x v="426"/>
    <n v="6.6719999999999997"/>
    <x v="7"/>
    <x v="1"/>
    <n v="0.50039999999999996"/>
    <x v="5"/>
    <x v="9"/>
    <x v="9"/>
  </r>
  <r>
    <n v="367"/>
    <s v="CA-2016-155516"/>
    <x v="369"/>
    <d v="2016-10-21T00:00:00"/>
    <x v="3"/>
    <s v="MK-17905"/>
    <s v="Michael Kennedy"/>
    <x v="0"/>
    <x v="0"/>
    <s v="Manchester"/>
    <x v="25"/>
    <n v="6040"/>
    <x v="2"/>
    <s v="OFF-BI-10002412"/>
    <x v="0"/>
    <x v="10"/>
    <x v="427"/>
    <n v="23.2"/>
    <x v="6"/>
    <x v="0"/>
    <n v="10.44"/>
    <x v="6"/>
    <x v="9"/>
    <x v="9"/>
  </r>
  <r>
    <n v="567"/>
    <s v="CA-2017-156951"/>
    <x v="368"/>
    <d v="2017-10-08T00:00:00"/>
    <x v="1"/>
    <s v="EB-13840"/>
    <s v="Ellis Ballard"/>
    <x v="0"/>
    <x v="0"/>
    <s v="Seattle"/>
    <x v="2"/>
    <n v="98105"/>
    <x v="1"/>
    <s v="OFF-PA-10004530"/>
    <x v="0"/>
    <x v="9"/>
    <x v="416"/>
    <n v="91.84"/>
    <x v="5"/>
    <x v="0"/>
    <n v="45.001600000000003"/>
    <x v="5"/>
    <x v="9"/>
    <x v="9"/>
  </r>
  <r>
    <n v="1068"/>
    <s v="CA-2016-157686"/>
    <x v="370"/>
    <d v="2016-10-02T00:00:00"/>
    <x v="2"/>
    <s v="BD-11620"/>
    <s v="Brian DeCherney"/>
    <x v="2"/>
    <x v="0"/>
    <s v="San Francisco"/>
    <x v="7"/>
    <n v="94122"/>
    <x v="1"/>
    <s v="FUR-CH-10001146"/>
    <x v="2"/>
    <x v="13"/>
    <x v="147"/>
    <n v="194.84800000000001"/>
    <x v="6"/>
    <x v="1"/>
    <n v="12.178000000000001"/>
    <x v="7"/>
    <x v="9"/>
    <x v="9"/>
  </r>
  <r>
    <n v="5888"/>
    <s v="CA-2017-151596"/>
    <x v="371"/>
    <d v="2017-10-11T00:00:00"/>
    <x v="2"/>
    <s v="BP-11050"/>
    <s v="Barry Pond"/>
    <x v="0"/>
    <x v="0"/>
    <s v="Cranston"/>
    <x v="35"/>
    <n v="2920"/>
    <x v="2"/>
    <s v="OFF-ST-10001837"/>
    <x v="0"/>
    <x v="2"/>
    <x v="428"/>
    <n v="42.76"/>
    <x v="1"/>
    <x v="0"/>
    <n v="11.117599999999999"/>
    <x v="3"/>
    <x v="9"/>
    <x v="9"/>
  </r>
  <r>
    <n v="2176"/>
    <s v="CA-2016-125738"/>
    <x v="372"/>
    <d v="2016-10-21T00:00:00"/>
    <x v="1"/>
    <s v="PB-18805"/>
    <s v="Patrick Bzostek"/>
    <x v="1"/>
    <x v="0"/>
    <s v="Salt Lake City"/>
    <x v="28"/>
    <n v="84106"/>
    <x v="1"/>
    <s v="OFF-PA-10000740"/>
    <x v="0"/>
    <x v="9"/>
    <x v="67"/>
    <n v="45.68"/>
    <x v="0"/>
    <x v="0"/>
    <n v="21.012799999999999"/>
    <x v="4"/>
    <x v="9"/>
    <x v="9"/>
  </r>
  <r>
    <n v="87"/>
    <s v="CA-2017-155558"/>
    <x v="373"/>
    <d v="2017-11-02T00:00:00"/>
    <x v="1"/>
    <s v="PG-18895"/>
    <s v="Paul Gonzalez"/>
    <x v="2"/>
    <x v="0"/>
    <s v="Rochester"/>
    <x v="10"/>
    <n v="55901"/>
    <x v="3"/>
    <s v="TEC-AC-10001998"/>
    <x v="1"/>
    <x v="4"/>
    <x v="429"/>
    <n v="19.989999999999998"/>
    <x v="1"/>
    <x v="0"/>
    <n v="6.7965999999999998"/>
    <x v="5"/>
    <x v="9"/>
    <x v="9"/>
  </r>
  <r>
    <n v="454"/>
    <s v="CA-2017-147277"/>
    <x v="374"/>
    <d v="2017-10-24T00:00:00"/>
    <x v="1"/>
    <s v="EB-13705"/>
    <s v="Ed Braxton"/>
    <x v="0"/>
    <x v="0"/>
    <s v="Akron"/>
    <x v="3"/>
    <n v="44312"/>
    <x v="2"/>
    <s v="FUR-TA-10001539"/>
    <x v="2"/>
    <x v="6"/>
    <x v="430"/>
    <n v="284.36399999999998"/>
    <x v="0"/>
    <x v="5"/>
    <n v="-75.830399999999997"/>
    <x v="2"/>
    <x v="9"/>
    <x v="9"/>
  </r>
  <r>
    <n v="750"/>
    <s v="CA-2017-126074"/>
    <x v="375"/>
    <d v="2017-10-06T00:00:00"/>
    <x v="1"/>
    <s v="RF-19735"/>
    <s v="Roland Fjeld"/>
    <x v="2"/>
    <x v="0"/>
    <s v="Trenton"/>
    <x v="13"/>
    <n v="48183"/>
    <x v="3"/>
    <s v="OFF-BI-10003638"/>
    <x v="0"/>
    <x v="10"/>
    <x v="431"/>
    <n v="58.05"/>
    <x v="2"/>
    <x v="0"/>
    <n v="26.702999999999999"/>
    <x v="2"/>
    <x v="9"/>
    <x v="9"/>
  </r>
  <r>
    <n v="82"/>
    <s v="CA-2014-139451"/>
    <x v="376"/>
    <d v="2014-10-16T00:00:00"/>
    <x v="1"/>
    <s v="DN-13690"/>
    <s v="Duane Noonan"/>
    <x v="2"/>
    <x v="0"/>
    <s v="San Francisco"/>
    <x v="7"/>
    <n v="94122"/>
    <x v="1"/>
    <s v="OFF-AR-10002053"/>
    <x v="0"/>
    <x v="3"/>
    <x v="303"/>
    <n v="14.9"/>
    <x v="3"/>
    <x v="0"/>
    <n v="4.1719999999999997"/>
    <x v="2"/>
    <x v="9"/>
    <x v="9"/>
  </r>
  <r>
    <n v="1906"/>
    <s v="CA-2017-154410"/>
    <x v="377"/>
    <d v="2017-10-24T00:00:00"/>
    <x v="2"/>
    <s v="MD-17860"/>
    <s v="Michael Dominguez"/>
    <x v="0"/>
    <x v="0"/>
    <s v="Indianapolis"/>
    <x v="29"/>
    <n v="46203"/>
    <x v="3"/>
    <s v="OFF-ST-10002743"/>
    <x v="0"/>
    <x v="2"/>
    <x v="432"/>
    <n v="909.12"/>
    <x v="5"/>
    <x v="0"/>
    <n v="9.0912000000000006"/>
    <x v="3"/>
    <x v="9"/>
    <x v="9"/>
  </r>
  <r>
    <n v="1897"/>
    <s v="CA-2017-141789"/>
    <x v="378"/>
    <d v="2017-10-06T00:00:00"/>
    <x v="2"/>
    <s v="AC-10450"/>
    <s v="Amy Cox"/>
    <x v="2"/>
    <x v="0"/>
    <s v="Minneapolis"/>
    <x v="10"/>
    <n v="55407"/>
    <x v="3"/>
    <s v="OFF-BI-10001359"/>
    <x v="0"/>
    <x v="10"/>
    <x v="433"/>
    <n v="1793.98"/>
    <x v="0"/>
    <x v="0"/>
    <n v="843.17060000000004"/>
    <x v="3"/>
    <x v="9"/>
    <x v="9"/>
  </r>
  <r>
    <n v="782"/>
    <s v="US-2015-157014"/>
    <x v="379"/>
    <d v="2015-10-06T00:00:00"/>
    <x v="0"/>
    <s v="BM-11785"/>
    <s v="Bryan Mills"/>
    <x v="2"/>
    <x v="0"/>
    <s v="Columbus"/>
    <x v="3"/>
    <n v="43229"/>
    <x v="2"/>
    <s v="OFF-BI-10001098"/>
    <x v="0"/>
    <x v="10"/>
    <x v="294"/>
    <n v="32.07"/>
    <x v="3"/>
    <x v="7"/>
    <n v="-22.449000000000002"/>
    <x v="3"/>
    <x v="9"/>
    <x v="9"/>
  </r>
  <r>
    <n v="277"/>
    <s v="CA-2017-132976"/>
    <x v="380"/>
    <d v="2017-10-17T00:00:00"/>
    <x v="1"/>
    <s v="AG-10495"/>
    <s v="Andrew Gjertsen"/>
    <x v="0"/>
    <x v="0"/>
    <s v="Philadelphia"/>
    <x v="31"/>
    <n v="19140"/>
    <x v="2"/>
    <s v="OFF-PA-10000673"/>
    <x v="0"/>
    <x v="9"/>
    <x v="434"/>
    <n v="11.648"/>
    <x v="0"/>
    <x v="1"/>
    <n v="4.0768000000000004"/>
    <x v="2"/>
    <x v="9"/>
    <x v="9"/>
  </r>
  <r>
    <n v="382"/>
    <s v="CA-2016-134775"/>
    <x v="381"/>
    <d v="2016-10-29T00:00:00"/>
    <x v="2"/>
    <s v="AS-10285"/>
    <s v="Alejandro Savely"/>
    <x v="0"/>
    <x v="0"/>
    <s v="San Francisco"/>
    <x v="7"/>
    <n v="94109"/>
    <x v="1"/>
    <s v="OFF-PA-10004734"/>
    <x v="0"/>
    <x v="9"/>
    <x v="435"/>
    <n v="50.96"/>
    <x v="4"/>
    <x v="0"/>
    <n v="25.48"/>
    <x v="7"/>
    <x v="9"/>
    <x v="9"/>
  </r>
  <r>
    <n v="110"/>
    <s v="CA-2015-129476"/>
    <x v="382"/>
    <d v="2015-10-20T00:00:00"/>
    <x v="1"/>
    <s v="PA-19060"/>
    <s v="Pete Armstrong"/>
    <x v="1"/>
    <x v="0"/>
    <s v="Orland Park"/>
    <x v="5"/>
    <n v="60462"/>
    <x v="3"/>
    <s v="TEC-AC-10000844"/>
    <x v="1"/>
    <x v="4"/>
    <x v="436"/>
    <n v="339.96"/>
    <x v="3"/>
    <x v="1"/>
    <n v="67.992000000000004"/>
    <x v="1"/>
    <x v="9"/>
    <x v="9"/>
  </r>
  <r>
    <n v="2490"/>
    <s v="CA-2015-141040"/>
    <x v="383"/>
    <d v="2015-10-13T00:00:00"/>
    <x v="0"/>
    <s v="TB-21250"/>
    <s v="Tim Brockman"/>
    <x v="2"/>
    <x v="0"/>
    <s v="New York City"/>
    <x v="20"/>
    <n v="10024"/>
    <x v="2"/>
    <s v="TEC-PH-10001835"/>
    <x v="1"/>
    <x v="7"/>
    <x v="437"/>
    <n v="631.96"/>
    <x v="6"/>
    <x v="0"/>
    <n v="303.3408"/>
    <x v="2"/>
    <x v="9"/>
    <x v="9"/>
  </r>
  <r>
    <n v="147"/>
    <s v="CA-2014-110072"/>
    <x v="384"/>
    <d v="2014-10-28T00:00:00"/>
    <x v="1"/>
    <s v="MG-17680"/>
    <s v="Maureen Gastineau"/>
    <x v="1"/>
    <x v="0"/>
    <s v="Newark"/>
    <x v="3"/>
    <n v="43055"/>
    <x v="2"/>
    <s v="FUR-FU-10000521"/>
    <x v="2"/>
    <x v="5"/>
    <x v="438"/>
    <n v="93.888000000000005"/>
    <x v="6"/>
    <x v="1"/>
    <n v="12.909599999999999"/>
    <x v="4"/>
    <x v="9"/>
    <x v="9"/>
  </r>
  <r>
    <n v="897"/>
    <s v="CA-2016-140634"/>
    <x v="385"/>
    <d v="2016-10-06T00:00:00"/>
    <x v="0"/>
    <s v="HL-15040"/>
    <s v="Hunter Lopez"/>
    <x v="2"/>
    <x v="0"/>
    <s v="Houston"/>
    <x v="11"/>
    <n v="77095"/>
    <x v="3"/>
    <s v="OFF-EN-10001099"/>
    <x v="0"/>
    <x v="0"/>
    <x v="0"/>
    <n v="15.648"/>
    <x v="0"/>
    <x v="1"/>
    <n v="5.0856000000000003"/>
    <x v="3"/>
    <x v="9"/>
    <x v="9"/>
  </r>
  <r>
    <n v="888"/>
    <s v="CA-2017-150707"/>
    <x v="386"/>
    <d v="2017-10-19T00:00:00"/>
    <x v="1"/>
    <s v="EL-13735"/>
    <s v="Ed Ludwig"/>
    <x v="1"/>
    <x v="0"/>
    <s v="Columbia"/>
    <x v="27"/>
    <n v="21044"/>
    <x v="2"/>
    <s v="OFF-BI-10001078"/>
    <x v="0"/>
    <x v="10"/>
    <x v="439"/>
    <n v="37.659999999999997"/>
    <x v="4"/>
    <x v="0"/>
    <n v="18.453399999999998"/>
    <x v="1"/>
    <x v="9"/>
    <x v="9"/>
  </r>
  <r>
    <n v="2417"/>
    <s v="CA-2017-168655"/>
    <x v="387"/>
    <d v="2017-10-18T00:00:00"/>
    <x v="1"/>
    <s v="ML-18040"/>
    <s v="Michelle Lonsdale"/>
    <x v="0"/>
    <x v="0"/>
    <s v="Albuquerque"/>
    <x v="30"/>
    <n v="87105"/>
    <x v="1"/>
    <s v="TEC-AC-10002842"/>
    <x v="1"/>
    <x v="4"/>
    <x v="440"/>
    <n v="595"/>
    <x v="3"/>
    <x v="0"/>
    <n v="95.2"/>
    <x v="4"/>
    <x v="9"/>
    <x v="9"/>
  </r>
  <r>
    <n v="884"/>
    <s v="CA-2016-165148"/>
    <x v="388"/>
    <d v="2016-10-24T00:00:00"/>
    <x v="2"/>
    <s v="PM-19135"/>
    <s v="Peter McVee"/>
    <x v="1"/>
    <x v="0"/>
    <s v="Detroit"/>
    <x v="13"/>
    <n v="48227"/>
    <x v="3"/>
    <s v="FUR-FU-10000732"/>
    <x v="2"/>
    <x v="5"/>
    <x v="441"/>
    <n v="31.4"/>
    <x v="3"/>
    <x v="0"/>
    <n v="10.048"/>
    <x v="0"/>
    <x v="9"/>
    <x v="9"/>
  </r>
  <r>
    <n v="1361"/>
    <s v="CA-2017-125199"/>
    <x v="366"/>
    <d v="2017-10-25T00:00:00"/>
    <x v="1"/>
    <s v="HM-14860"/>
    <s v="Harry Marie"/>
    <x v="0"/>
    <x v="0"/>
    <s v="Philadelphia"/>
    <x v="31"/>
    <n v="19120"/>
    <x v="2"/>
    <s v="OFF-AR-10002956"/>
    <x v="0"/>
    <x v="3"/>
    <x v="442"/>
    <n v="123.256"/>
    <x v="4"/>
    <x v="1"/>
    <n v="9.2441999999999993"/>
    <x v="4"/>
    <x v="9"/>
    <x v="9"/>
  </r>
  <r>
    <n v="2624"/>
    <s v="CA-2017-127180"/>
    <x v="389"/>
    <d v="2017-10-24T00:00:00"/>
    <x v="2"/>
    <s v="TA-21385"/>
    <s v="Tom Ashbrook"/>
    <x v="1"/>
    <x v="0"/>
    <s v="New York City"/>
    <x v="20"/>
    <n v="10024"/>
    <x v="2"/>
    <s v="TEC-CO-10004722"/>
    <x v="1"/>
    <x v="15"/>
    <x v="443"/>
    <n v="11199.968000000001"/>
    <x v="6"/>
    <x v="1"/>
    <n v="3919.9888000000001"/>
    <x v="0"/>
    <x v="9"/>
    <x v="9"/>
  </r>
  <r>
    <n v="4"/>
    <s v="US-2015-108966"/>
    <x v="390"/>
    <d v="2015-10-18T00:00:00"/>
    <x v="1"/>
    <s v="SO-20335"/>
    <s v="Sean O'Donnell"/>
    <x v="2"/>
    <x v="0"/>
    <s v="Fort Lauderdale"/>
    <x v="22"/>
    <n v="33311"/>
    <x v="0"/>
    <s v="FUR-TA-10000577"/>
    <x v="2"/>
    <x v="6"/>
    <x v="230"/>
    <n v="957.57749999999999"/>
    <x v="3"/>
    <x v="10"/>
    <n v="-383.03100000000001"/>
    <x v="5"/>
    <x v="9"/>
    <x v="9"/>
  </r>
  <r>
    <n v="928"/>
    <s v="CA-2015-115091"/>
    <x v="391"/>
    <d v="2015-10-09T00:00:00"/>
    <x v="1"/>
    <s v="JJ-15760"/>
    <s v="Joel Jenkins"/>
    <x v="1"/>
    <x v="0"/>
    <s v="Springfield"/>
    <x v="1"/>
    <n v="22153"/>
    <x v="0"/>
    <s v="OFF-AR-10000658"/>
    <x v="0"/>
    <x v="3"/>
    <x v="155"/>
    <n v="46.2"/>
    <x v="6"/>
    <x v="0"/>
    <n v="12.936"/>
    <x v="2"/>
    <x v="9"/>
    <x v="9"/>
  </r>
  <r>
    <n v="8086"/>
    <s v="CA-2016-105753"/>
    <x v="392"/>
    <d v="2016-10-26T00:00:00"/>
    <x v="1"/>
    <s v="LC-16960"/>
    <s v="Lindsay Castell"/>
    <x v="1"/>
    <x v="0"/>
    <s v="Arlington"/>
    <x v="1"/>
    <n v="22204"/>
    <x v="0"/>
    <s v="FUR-FU-10000246"/>
    <x v="2"/>
    <x v="5"/>
    <x v="444"/>
    <n v="61.1"/>
    <x v="3"/>
    <x v="0"/>
    <n v="18.329999999999998"/>
    <x v="4"/>
    <x v="9"/>
    <x v="9"/>
  </r>
  <r>
    <n v="134"/>
    <s v="CA-2016-145583"/>
    <x v="393"/>
    <d v="2016-10-19T00:00:00"/>
    <x v="1"/>
    <s v="LC-16885"/>
    <s v="Lena Creighton"/>
    <x v="2"/>
    <x v="0"/>
    <s v="Roseville"/>
    <x v="7"/>
    <n v="95661"/>
    <x v="1"/>
    <s v="OFF-PA-10001804"/>
    <x v="0"/>
    <x v="9"/>
    <x v="445"/>
    <n v="20.04"/>
    <x v="2"/>
    <x v="0"/>
    <n v="9.6191999999999993"/>
    <x v="4"/>
    <x v="9"/>
    <x v="9"/>
  </r>
  <r>
    <n v="1427"/>
    <s v="US-2015-164448"/>
    <x v="394"/>
    <d v="2015-11-04T00:00:00"/>
    <x v="0"/>
    <s v="DK-12835"/>
    <s v="Damala Kotsonis"/>
    <x v="0"/>
    <x v="0"/>
    <s v="Salinas"/>
    <x v="7"/>
    <n v="93905"/>
    <x v="1"/>
    <s v="OFF-BI-10002949"/>
    <x v="0"/>
    <x v="10"/>
    <x v="357"/>
    <n v="9.7279999999999998"/>
    <x v="0"/>
    <x v="1"/>
    <n v="3.2831999999999999"/>
    <x v="2"/>
    <x v="9"/>
    <x v="9"/>
  </r>
  <r>
    <n v="396"/>
    <s v="CA-2017-165603"/>
    <x v="395"/>
    <d v="2017-10-19T00:00:00"/>
    <x v="0"/>
    <s v="SS-20140"/>
    <s v="Saphhira Shifley"/>
    <x v="0"/>
    <x v="0"/>
    <s v="Warwick"/>
    <x v="35"/>
    <n v="2886"/>
    <x v="2"/>
    <s v="OFF-ST-10000798"/>
    <x v="0"/>
    <x v="2"/>
    <x v="446"/>
    <n v="49.96"/>
    <x v="0"/>
    <x v="0"/>
    <n v="9.4923999999999999"/>
    <x v="0"/>
    <x v="9"/>
    <x v="9"/>
  </r>
  <r>
    <n v="2667"/>
    <s v="CA-2016-111794"/>
    <x v="370"/>
    <d v="2016-10-01T00:00:00"/>
    <x v="3"/>
    <s v="HG-15025"/>
    <s v="Hunter Glantz"/>
    <x v="2"/>
    <x v="0"/>
    <s v="Amarillo"/>
    <x v="11"/>
    <n v="79109"/>
    <x v="3"/>
    <s v="TEC-AC-10003832"/>
    <x v="1"/>
    <x v="4"/>
    <x v="193"/>
    <n v="79.512"/>
    <x v="2"/>
    <x v="1"/>
    <n v="20.8719"/>
    <x v="6"/>
    <x v="9"/>
    <x v="9"/>
  </r>
  <r>
    <n v="1351"/>
    <s v="CA-2014-153976"/>
    <x v="396"/>
    <d v="2014-10-08T00:00:00"/>
    <x v="0"/>
    <s v="BP-11290"/>
    <s v="Beth Paige"/>
    <x v="2"/>
    <x v="0"/>
    <s v="Evanston"/>
    <x v="5"/>
    <n v="60201"/>
    <x v="3"/>
    <s v="FUR-CH-10002880"/>
    <x v="2"/>
    <x v="13"/>
    <x v="447"/>
    <n v="258.279"/>
    <x v="2"/>
    <x v="8"/>
    <n v="-70.104299999999995"/>
    <x v="1"/>
    <x v="9"/>
    <x v="9"/>
  </r>
  <r>
    <n v="2280"/>
    <s v="CA-2017-142622"/>
    <x v="397"/>
    <d v="2017-11-02T00:00:00"/>
    <x v="2"/>
    <s v="JK-15625"/>
    <s v="Jim Karlsson"/>
    <x v="2"/>
    <x v="0"/>
    <s v="Seattle"/>
    <x v="2"/>
    <n v="98115"/>
    <x v="1"/>
    <s v="FUR-CH-10003833"/>
    <x v="2"/>
    <x v="13"/>
    <x v="448"/>
    <n v="97.567999999999998"/>
    <x v="0"/>
    <x v="1"/>
    <n v="-6.0979999999999999"/>
    <x v="3"/>
    <x v="9"/>
    <x v="9"/>
  </r>
  <r>
    <n v="2267"/>
    <s v="CA-2017-149146"/>
    <x v="387"/>
    <d v="2017-10-12T00:00:00"/>
    <x v="3"/>
    <s v="SM-20320"/>
    <s v="Sean Miller"/>
    <x v="1"/>
    <x v="0"/>
    <s v="Monroe"/>
    <x v="8"/>
    <n v="28110"/>
    <x v="0"/>
    <s v="OFF-PA-10003919"/>
    <x v="0"/>
    <x v="9"/>
    <x v="449"/>
    <n v="7.968"/>
    <x v="0"/>
    <x v="1"/>
    <n v="2.6892"/>
    <x v="6"/>
    <x v="9"/>
    <x v="9"/>
  </r>
  <r>
    <n v="2724"/>
    <s v="CA-2014-153479"/>
    <x v="398"/>
    <d v="2014-10-08T00:00:00"/>
    <x v="1"/>
    <s v="DF-13135"/>
    <s v="David Flashing"/>
    <x v="2"/>
    <x v="0"/>
    <s v="Vallejo"/>
    <x v="7"/>
    <n v="94591"/>
    <x v="1"/>
    <s v="OFF-LA-10004689"/>
    <x v="0"/>
    <x v="1"/>
    <x v="450"/>
    <n v="14.45"/>
    <x v="3"/>
    <x v="0"/>
    <n v="6.7915000000000001"/>
    <x v="2"/>
    <x v="9"/>
    <x v="9"/>
  </r>
  <r>
    <n v="847"/>
    <s v="CA-2015-114300"/>
    <x v="399"/>
    <d v="2015-10-17T00:00:00"/>
    <x v="1"/>
    <s v="AF-10885"/>
    <s v="Art Foster"/>
    <x v="2"/>
    <x v="0"/>
    <s v="Louisville"/>
    <x v="24"/>
    <n v="40214"/>
    <x v="0"/>
    <s v="TEC-PH-10001552"/>
    <x v="1"/>
    <x v="7"/>
    <x v="451"/>
    <n v="83.72"/>
    <x v="4"/>
    <x v="0"/>
    <n v="23.441600000000001"/>
    <x v="2"/>
    <x v="9"/>
    <x v="9"/>
  </r>
  <r>
    <n v="479"/>
    <s v="CA-2016-152632"/>
    <x v="400"/>
    <d v="2016-11-02T00:00:00"/>
    <x v="1"/>
    <s v="JE-15475"/>
    <s v="Jeremy Ellison"/>
    <x v="2"/>
    <x v="0"/>
    <s v="Troy"/>
    <x v="20"/>
    <n v="12180"/>
    <x v="2"/>
    <s v="FUR-FU-10002671"/>
    <x v="2"/>
    <x v="5"/>
    <x v="198"/>
    <n v="40.200000000000003"/>
    <x v="2"/>
    <x v="0"/>
    <n v="19.295999999999999"/>
    <x v="4"/>
    <x v="9"/>
    <x v="9"/>
  </r>
  <r>
    <n v="1444"/>
    <s v="CA-2015-166135"/>
    <x v="401"/>
    <d v="2015-10-06T00:00:00"/>
    <x v="1"/>
    <s v="SC-20440"/>
    <s v="Shaun Chance"/>
    <x v="0"/>
    <x v="0"/>
    <s v="Aurora"/>
    <x v="9"/>
    <n v="80013"/>
    <x v="1"/>
    <s v="OFF-ST-10002974"/>
    <x v="0"/>
    <x v="2"/>
    <x v="286"/>
    <n v="139.42400000000001"/>
    <x v="6"/>
    <x v="1"/>
    <n v="17.428000000000001"/>
    <x v="1"/>
    <x v="9"/>
    <x v="9"/>
  </r>
  <r>
    <n v="527"/>
    <s v="CA-2017-113558"/>
    <x v="377"/>
    <d v="2017-10-26T00:00:00"/>
    <x v="1"/>
    <s v="PH-18790"/>
    <s v="Patricia Hirasaki"/>
    <x v="1"/>
    <x v="0"/>
    <s v="Lakeland"/>
    <x v="22"/>
    <n v="33801"/>
    <x v="0"/>
    <s v="FUR-CH-10003379"/>
    <x v="2"/>
    <x v="13"/>
    <x v="452"/>
    <n v="683.952"/>
    <x v="2"/>
    <x v="1"/>
    <n v="42.747"/>
    <x v="1"/>
    <x v="9"/>
    <x v="9"/>
  </r>
  <r>
    <n v="899"/>
    <s v="CA-2017-160983"/>
    <x v="402"/>
    <d v="2017-10-31T00:00:00"/>
    <x v="0"/>
    <s v="GB-14530"/>
    <s v="George Bell"/>
    <x v="0"/>
    <x v="0"/>
    <s v="Auburn"/>
    <x v="20"/>
    <n v="13021"/>
    <x v="2"/>
    <s v="OFF-PA-10002250"/>
    <x v="0"/>
    <x v="9"/>
    <x v="453"/>
    <n v="46.96"/>
    <x v="5"/>
    <x v="0"/>
    <n v="22.540800000000001"/>
    <x v="0"/>
    <x v="9"/>
    <x v="9"/>
  </r>
  <r>
    <n v="1262"/>
    <s v="US-2016-144393"/>
    <x v="381"/>
    <d v="2016-11-04T00:00:00"/>
    <x v="1"/>
    <s v="SM-20950"/>
    <s v="Suzanne McNair"/>
    <x v="0"/>
    <x v="0"/>
    <s v="Greenville"/>
    <x v="8"/>
    <n v="27834"/>
    <x v="0"/>
    <s v="OFF-BI-10004236"/>
    <x v="0"/>
    <x v="10"/>
    <x v="454"/>
    <n v="17.616"/>
    <x v="6"/>
    <x v="7"/>
    <n v="-14.0928"/>
    <x v="5"/>
    <x v="9"/>
    <x v="9"/>
  </r>
  <r>
    <n v="1752"/>
    <s v="CA-2017-168837"/>
    <x v="386"/>
    <d v="2017-10-17T00:00:00"/>
    <x v="2"/>
    <s v="JW-15955"/>
    <s v="Joni Wasserman"/>
    <x v="2"/>
    <x v="0"/>
    <s v="Oakland"/>
    <x v="7"/>
    <n v="94601"/>
    <x v="1"/>
    <s v="FUR-FU-10001918"/>
    <x v="2"/>
    <x v="5"/>
    <x v="419"/>
    <n v="9.4600000000000009"/>
    <x v="0"/>
    <x v="0"/>
    <n v="3.6894"/>
    <x v="3"/>
    <x v="9"/>
    <x v="9"/>
  </r>
  <r>
    <n v="1536"/>
    <s v="CA-2016-112389"/>
    <x v="403"/>
    <d v="2016-11-02T00:00:00"/>
    <x v="1"/>
    <s v="JM-15655"/>
    <s v="Jim Mitchum"/>
    <x v="0"/>
    <x v="0"/>
    <s v="Bridgeton"/>
    <x v="18"/>
    <n v="8302"/>
    <x v="2"/>
    <s v="OFF-ST-10000419"/>
    <x v="0"/>
    <x v="2"/>
    <x v="455"/>
    <n v="40.74"/>
    <x v="2"/>
    <x v="0"/>
    <n v="0.40739999999999998"/>
    <x v="2"/>
    <x v="9"/>
    <x v="9"/>
  </r>
  <r>
    <n v="652"/>
    <s v="CA-2016-132661"/>
    <x v="404"/>
    <d v="2016-10-29T00:00:00"/>
    <x v="1"/>
    <s v="SR-20740"/>
    <s v="Steven Roelle"/>
    <x v="1"/>
    <x v="0"/>
    <s v="New York City"/>
    <x v="20"/>
    <n v="10024"/>
    <x v="2"/>
    <s v="OFF-PA-10000482"/>
    <x v="0"/>
    <x v="9"/>
    <x v="204"/>
    <n v="379.4"/>
    <x v="11"/>
    <x v="0"/>
    <n v="178.31800000000001"/>
    <x v="4"/>
    <x v="9"/>
    <x v="9"/>
  </r>
  <r>
    <n v="1261"/>
    <s v="CA-2017-117079"/>
    <x v="405"/>
    <d v="2017-10-27T00:00:00"/>
    <x v="1"/>
    <s v="JR-15700"/>
    <s v="Jocasta Rupert"/>
    <x v="2"/>
    <x v="0"/>
    <s v="Jacksonville"/>
    <x v="22"/>
    <n v="32216"/>
    <x v="0"/>
    <s v="TEC-PH-10004586"/>
    <x v="1"/>
    <x v="7"/>
    <x v="301"/>
    <n v="863.88"/>
    <x v="2"/>
    <x v="1"/>
    <n v="107.985"/>
    <x v="2"/>
    <x v="9"/>
    <x v="9"/>
  </r>
  <r>
    <n v="4182"/>
    <s v="US-2017-136868"/>
    <x v="406"/>
    <d v="2017-10-12T00:00:00"/>
    <x v="1"/>
    <s v="CR-12820"/>
    <s v="Cyra Reiten"/>
    <x v="1"/>
    <x v="0"/>
    <s v="New York City"/>
    <x v="20"/>
    <n v="10035"/>
    <x v="2"/>
    <s v="TEC-AC-10001539"/>
    <x v="1"/>
    <x v="4"/>
    <x v="456"/>
    <n v="319.95999999999998"/>
    <x v="6"/>
    <x v="0"/>
    <n v="115.18559999999999"/>
    <x v="4"/>
    <x v="9"/>
    <x v="9"/>
  </r>
  <r>
    <n v="218"/>
    <s v="CA-2016-130162"/>
    <x v="381"/>
    <d v="2016-11-01T00:00:00"/>
    <x v="1"/>
    <s v="JH-15910"/>
    <s v="Jonathan Howell"/>
    <x v="2"/>
    <x v="0"/>
    <s v="Los Angeles"/>
    <x v="7"/>
    <n v="90032"/>
    <x v="1"/>
    <s v="OFF-ST-10001328"/>
    <x v="0"/>
    <x v="2"/>
    <x v="287"/>
    <n v="93.06"/>
    <x v="7"/>
    <x v="0"/>
    <n v="26.056799999999999"/>
    <x v="2"/>
    <x v="9"/>
    <x v="9"/>
  </r>
  <r>
    <n v="1264"/>
    <s v="CA-2016-155992"/>
    <x v="370"/>
    <d v="2016-10-02T00:00:00"/>
    <x v="2"/>
    <s v="CC-12220"/>
    <s v="Chris Cortes"/>
    <x v="2"/>
    <x v="0"/>
    <s v="La Porte"/>
    <x v="29"/>
    <n v="46350"/>
    <x v="3"/>
    <s v="TEC-PH-10000215"/>
    <x v="1"/>
    <x v="7"/>
    <x v="457"/>
    <n v="69.900000000000006"/>
    <x v="0"/>
    <x v="0"/>
    <n v="18.873000000000001"/>
    <x v="7"/>
    <x v="9"/>
    <x v="9"/>
  </r>
  <r>
    <n v="35"/>
    <s v="CA-2017-107727"/>
    <x v="366"/>
    <d v="2017-10-23T00:00:00"/>
    <x v="0"/>
    <s v="MA-17560"/>
    <s v="Matt Abelman"/>
    <x v="1"/>
    <x v="0"/>
    <s v="Houston"/>
    <x v="11"/>
    <n v="77095"/>
    <x v="3"/>
    <s v="OFF-PA-10000249"/>
    <x v="0"/>
    <x v="9"/>
    <x v="235"/>
    <n v="29.472000000000001"/>
    <x v="2"/>
    <x v="1"/>
    <n v="9.9467999999999996"/>
    <x v="2"/>
    <x v="9"/>
    <x v="9"/>
  </r>
  <r>
    <n v="5431"/>
    <s v="CA-2017-117422"/>
    <x v="377"/>
    <d v="2017-10-25T00:00:00"/>
    <x v="1"/>
    <s v="FC-14245"/>
    <s v="Frank Carlisle"/>
    <x v="1"/>
    <x v="0"/>
    <s v="Lakewood"/>
    <x v="3"/>
    <n v="44107"/>
    <x v="2"/>
    <s v="OFF-AP-10000938"/>
    <x v="0"/>
    <x v="14"/>
    <x v="458"/>
    <n v="161.56800000000001"/>
    <x v="0"/>
    <x v="1"/>
    <n v="16.1568"/>
    <x v="2"/>
    <x v="9"/>
    <x v="9"/>
  </r>
  <r>
    <n v="1707"/>
    <s v="CA-2017-123491"/>
    <x v="397"/>
    <d v="2017-11-05T00:00:00"/>
    <x v="1"/>
    <s v="JK-15205"/>
    <s v="Jamie Kunitz"/>
    <x v="2"/>
    <x v="0"/>
    <s v="San Francisco"/>
    <x v="7"/>
    <n v="94122"/>
    <x v="1"/>
    <s v="OFF-LA-10003077"/>
    <x v="0"/>
    <x v="1"/>
    <x v="459"/>
    <n v="43.86"/>
    <x v="7"/>
    <x v="0"/>
    <n v="20.6142"/>
    <x v="4"/>
    <x v="9"/>
    <x v="9"/>
  </r>
  <r>
    <n v="488"/>
    <s v="CA-2014-154627"/>
    <x v="407"/>
    <d v="2014-10-31T00:00:00"/>
    <x v="2"/>
    <s v="SA-20830"/>
    <s v="Sue Ann Reed"/>
    <x v="2"/>
    <x v="0"/>
    <s v="Chicago"/>
    <x v="5"/>
    <n v="60610"/>
    <x v="3"/>
    <s v="TEC-PH-10001363"/>
    <x v="1"/>
    <x v="7"/>
    <x v="460"/>
    <n v="2735.9520000000002"/>
    <x v="7"/>
    <x v="1"/>
    <n v="341.99400000000003"/>
    <x v="0"/>
    <x v="9"/>
    <x v="9"/>
  </r>
  <r>
    <n v="195"/>
    <s v="CA-2015-131457"/>
    <x v="394"/>
    <d v="2015-11-06T00:00:00"/>
    <x v="1"/>
    <s v="MZ-17515"/>
    <s v="Mary Zewe"/>
    <x v="0"/>
    <x v="0"/>
    <s v="Redlands"/>
    <x v="7"/>
    <n v="92374"/>
    <x v="1"/>
    <s v="OFF-EN-10001509"/>
    <x v="0"/>
    <x v="0"/>
    <x v="461"/>
    <n v="14.28"/>
    <x v="4"/>
    <x v="0"/>
    <n v="6.7115999999999998"/>
    <x v="4"/>
    <x v="9"/>
    <x v="9"/>
  </r>
  <r>
    <n v="1324"/>
    <s v="CA-2017-162635"/>
    <x v="408"/>
    <d v="2017-10-10T00:00:00"/>
    <x v="2"/>
    <s v="EB-14170"/>
    <s v="Evan Bailliet"/>
    <x v="2"/>
    <x v="0"/>
    <s v="Wilmington"/>
    <x v="8"/>
    <n v="28403"/>
    <x v="0"/>
    <s v="OFF-PA-10002659"/>
    <x v="0"/>
    <x v="9"/>
    <x v="462"/>
    <n v="10.816000000000001"/>
    <x v="6"/>
    <x v="1"/>
    <n v="3.5152000000000001"/>
    <x v="7"/>
    <x v="9"/>
    <x v="9"/>
  </r>
  <r>
    <n v="636"/>
    <s v="CA-2015-168004"/>
    <x v="409"/>
    <d v="2015-10-09T00:00:00"/>
    <x v="0"/>
    <s v="DJ-13420"/>
    <s v="Denny Joy"/>
    <x v="0"/>
    <x v="0"/>
    <s v="Warner Robins"/>
    <x v="4"/>
    <n v="31088"/>
    <x v="0"/>
    <s v="FUR-CH-10001482"/>
    <x v="2"/>
    <x v="13"/>
    <x v="463"/>
    <n v="392.94"/>
    <x v="2"/>
    <x v="0"/>
    <n v="43.223399999999998"/>
    <x v="1"/>
    <x v="9"/>
    <x v="9"/>
  </r>
  <r>
    <n v="1232"/>
    <s v="CA-2015-132570"/>
    <x v="394"/>
    <d v="2015-11-02T00:00:00"/>
    <x v="0"/>
    <s v="KT-16480"/>
    <s v="Kean Thornton"/>
    <x v="2"/>
    <x v="0"/>
    <s v="Buffalo"/>
    <x v="20"/>
    <n v="14215"/>
    <x v="2"/>
    <s v="OFF-AR-10000369"/>
    <x v="0"/>
    <x v="3"/>
    <x v="426"/>
    <n v="2.78"/>
    <x v="0"/>
    <x v="0"/>
    <n v="0.7228"/>
    <x v="0"/>
    <x v="9"/>
    <x v="9"/>
  </r>
  <r>
    <n v="1864"/>
    <s v="US-2016-100839"/>
    <x v="393"/>
    <d v="2016-10-17T00:00:00"/>
    <x v="1"/>
    <s v="NC-18625"/>
    <s v="Noah Childs"/>
    <x v="0"/>
    <x v="0"/>
    <s v="Aurora"/>
    <x v="9"/>
    <n v="80013"/>
    <x v="1"/>
    <s v="FUR-TA-10004575"/>
    <x v="2"/>
    <x v="6"/>
    <x v="464"/>
    <n v="727.45"/>
    <x v="3"/>
    <x v="3"/>
    <n v="-465.56799999999998"/>
    <x v="2"/>
    <x v="9"/>
    <x v="9"/>
  </r>
  <r>
    <n v="190"/>
    <s v="CA-2015-102281"/>
    <x v="410"/>
    <d v="2015-10-14T00:00:00"/>
    <x v="2"/>
    <s v="MP-17470"/>
    <s v="Mark Packer"/>
    <x v="1"/>
    <x v="0"/>
    <s v="New York City"/>
    <x v="20"/>
    <n v="10035"/>
    <x v="2"/>
    <s v="FUR-BO-10002613"/>
    <x v="2"/>
    <x v="8"/>
    <x v="465"/>
    <n v="899.13599999999997"/>
    <x v="6"/>
    <x v="1"/>
    <n v="112.392"/>
    <x v="0"/>
    <x v="9"/>
    <x v="9"/>
  </r>
  <r>
    <n v="724"/>
    <s v="CA-2014-117429"/>
    <x v="411"/>
    <d v="2014-10-13T00:00:00"/>
    <x v="1"/>
    <s v="MR-17545"/>
    <s v="Mathew Reese"/>
    <x v="1"/>
    <x v="0"/>
    <s v="Philadelphia"/>
    <x v="31"/>
    <n v="19140"/>
    <x v="2"/>
    <s v="FUR-FU-10000222"/>
    <x v="2"/>
    <x v="5"/>
    <x v="466"/>
    <n v="129.91999999999999"/>
    <x v="3"/>
    <x v="1"/>
    <n v="21.111999999999998"/>
    <x v="4"/>
    <x v="9"/>
    <x v="9"/>
  </r>
  <r>
    <n v="47"/>
    <s v="CA-2014-146703"/>
    <x v="412"/>
    <d v="2014-10-25T00:00:00"/>
    <x v="0"/>
    <s v="PO-18865"/>
    <s v="Patrick O'Donnell"/>
    <x v="2"/>
    <x v="0"/>
    <s v="Westland"/>
    <x v="13"/>
    <n v="48185"/>
    <x v="3"/>
    <s v="OFF-ST-10001713"/>
    <x v="0"/>
    <x v="2"/>
    <x v="299"/>
    <n v="211.96"/>
    <x v="6"/>
    <x v="0"/>
    <n v="8.4784000000000006"/>
    <x v="1"/>
    <x v="9"/>
    <x v="9"/>
  </r>
  <r>
    <n v="1329"/>
    <s v="CA-2017-106033"/>
    <x v="413"/>
    <d v="2017-10-18T00:00:00"/>
    <x v="0"/>
    <s v="FG-14260"/>
    <s v="Frank Gastineau"/>
    <x v="1"/>
    <x v="0"/>
    <s v="San Francisco"/>
    <x v="7"/>
    <n v="94110"/>
    <x v="1"/>
    <s v="OFF-AR-10002818"/>
    <x v="0"/>
    <x v="3"/>
    <x v="467"/>
    <n v="87.92"/>
    <x v="6"/>
    <x v="0"/>
    <n v="26.376000000000001"/>
    <x v="3"/>
    <x v="9"/>
    <x v="9"/>
  </r>
  <r>
    <n v="3801"/>
    <s v="CA-2016-156503"/>
    <x v="414"/>
    <d v="2016-10-20T00:00:00"/>
    <x v="1"/>
    <s v="NC-18415"/>
    <s v="Nathan Cano"/>
    <x v="2"/>
    <x v="0"/>
    <s v="Jacksonville"/>
    <x v="8"/>
    <n v="28540"/>
    <x v="0"/>
    <s v="FUR-CH-10003606"/>
    <x v="2"/>
    <x v="13"/>
    <x v="468"/>
    <n v="102.592"/>
    <x v="1"/>
    <x v="1"/>
    <n v="10.2592"/>
    <x v="4"/>
    <x v="9"/>
    <x v="9"/>
  </r>
  <r>
    <n v="1494"/>
    <s v="CA-2017-139661"/>
    <x v="397"/>
    <d v="2017-11-03T00:00:00"/>
    <x v="1"/>
    <s v="JW-15220"/>
    <s v="Jane Waco"/>
    <x v="0"/>
    <x v="0"/>
    <s v="Vancouver"/>
    <x v="2"/>
    <n v="98661"/>
    <x v="1"/>
    <s v="FUR-FU-10002885"/>
    <x v="2"/>
    <x v="5"/>
    <x v="469"/>
    <n v="9.64"/>
    <x v="0"/>
    <x v="0"/>
    <n v="3.6631999999999998"/>
    <x v="2"/>
    <x v="9"/>
    <x v="9"/>
  </r>
  <r>
    <n v="1660"/>
    <s v="CA-2017-127285"/>
    <x v="397"/>
    <d v="2017-11-06T00:00:00"/>
    <x v="1"/>
    <s v="MM-18055"/>
    <s v="Michelle Moray"/>
    <x v="2"/>
    <x v="0"/>
    <s v="Seattle"/>
    <x v="2"/>
    <n v="98115"/>
    <x v="1"/>
    <s v="OFF-BI-10004330"/>
    <x v="0"/>
    <x v="10"/>
    <x v="470"/>
    <n v="88.751999999999995"/>
    <x v="2"/>
    <x v="1"/>
    <n v="27.734999999999999"/>
    <x v="5"/>
    <x v="9"/>
    <x v="9"/>
  </r>
  <r>
    <n v="1105"/>
    <s v="CA-2016-112340"/>
    <x v="369"/>
    <d v="2016-10-27T00:00:00"/>
    <x v="1"/>
    <s v="NM-18520"/>
    <s v="Neoma Murray"/>
    <x v="2"/>
    <x v="0"/>
    <s v="Riverside"/>
    <x v="7"/>
    <n v="92503"/>
    <x v="1"/>
    <s v="OFF-PA-10001892"/>
    <x v="0"/>
    <x v="9"/>
    <x v="257"/>
    <n v="22.92"/>
    <x v="2"/>
    <x v="0"/>
    <n v="11.2308"/>
    <x v="4"/>
    <x v="9"/>
    <x v="9"/>
  </r>
  <r>
    <n v="1554"/>
    <s v="CA-2017-158386"/>
    <x v="415"/>
    <d v="2017-10-21T00:00:00"/>
    <x v="1"/>
    <s v="BO-11425"/>
    <s v="Bobby Odegard"/>
    <x v="2"/>
    <x v="0"/>
    <s v="Richmond"/>
    <x v="24"/>
    <n v="40475"/>
    <x v="0"/>
    <s v="OFF-BI-10003719"/>
    <x v="0"/>
    <x v="10"/>
    <x v="116"/>
    <n v="124.75"/>
    <x v="3"/>
    <x v="0"/>
    <n v="57.384999999999998"/>
    <x v="1"/>
    <x v="9"/>
    <x v="9"/>
  </r>
  <r>
    <n v="482"/>
    <s v="CA-2014-134677"/>
    <x v="416"/>
    <d v="2014-10-10T00:00:00"/>
    <x v="1"/>
    <s v="XP-21865"/>
    <s v="Xylona Preis"/>
    <x v="2"/>
    <x v="0"/>
    <s v="San Diego"/>
    <x v="7"/>
    <n v="92024"/>
    <x v="1"/>
    <s v="TEC-AC-10001445"/>
    <x v="1"/>
    <x v="4"/>
    <x v="471"/>
    <n v="9.09"/>
    <x v="2"/>
    <x v="0"/>
    <n v="1.9089"/>
    <x v="2"/>
    <x v="9"/>
    <x v="9"/>
  </r>
  <r>
    <n v="511"/>
    <s v="CA-2017-135307"/>
    <x v="417"/>
    <d v="2017-11-27T00:00:00"/>
    <x v="2"/>
    <s v="LS-17245"/>
    <s v="Lynn Smith"/>
    <x v="2"/>
    <x v="0"/>
    <s v="Gladstone"/>
    <x v="23"/>
    <n v="64118"/>
    <x v="3"/>
    <s v="FUR-FU-10001290"/>
    <x v="2"/>
    <x v="5"/>
    <x v="472"/>
    <n v="126.3"/>
    <x v="2"/>
    <x v="0"/>
    <n v="40.415999999999997"/>
    <x v="7"/>
    <x v="10"/>
    <x v="10"/>
  </r>
  <r>
    <n v="684"/>
    <s v="US-2017-168116"/>
    <x v="418"/>
    <d v="2017-11-04T00:00:00"/>
    <x v="3"/>
    <s v="GT-14635"/>
    <s v="Grant Thornton"/>
    <x v="0"/>
    <x v="0"/>
    <s v="Burlington"/>
    <x v="8"/>
    <n v="27217"/>
    <x v="0"/>
    <s v="TEC-MA-10004125"/>
    <x v="1"/>
    <x v="11"/>
    <x v="473"/>
    <n v="7999.98"/>
    <x v="6"/>
    <x v="3"/>
    <n v="-3839.9904000000001"/>
    <x v="6"/>
    <x v="10"/>
    <x v="10"/>
  </r>
  <r>
    <n v="127"/>
    <s v="US-2017-107272"/>
    <x v="419"/>
    <d v="2017-11-12T00:00:00"/>
    <x v="1"/>
    <s v="TS-21610"/>
    <s v="Troy Staebel"/>
    <x v="2"/>
    <x v="0"/>
    <s v="Phoenix"/>
    <x v="19"/>
    <n v="85023"/>
    <x v="1"/>
    <s v="OFF-BI-10003274"/>
    <x v="0"/>
    <x v="10"/>
    <x v="474"/>
    <n v="2.3879999999999999"/>
    <x v="0"/>
    <x v="7"/>
    <n v="-1.8308"/>
    <x v="5"/>
    <x v="10"/>
    <x v="10"/>
  </r>
  <r>
    <n v="681"/>
    <s v="CA-2016-164511"/>
    <x v="420"/>
    <d v="2016-11-24T00:00:00"/>
    <x v="1"/>
    <s v="DJ-13630"/>
    <s v="Doug Jacobs"/>
    <x v="2"/>
    <x v="0"/>
    <s v="New York City"/>
    <x v="20"/>
    <n v="10024"/>
    <x v="2"/>
    <s v="OFF-BI-10003305"/>
    <x v="0"/>
    <x v="10"/>
    <x v="475"/>
    <n v="14.352"/>
    <x v="2"/>
    <x v="1"/>
    <n v="4.6643999999999997"/>
    <x v="1"/>
    <x v="10"/>
    <x v="10"/>
  </r>
  <r>
    <n v="3971"/>
    <s v="CA-2014-135090"/>
    <x v="421"/>
    <d v="2014-11-26T00:00:00"/>
    <x v="1"/>
    <s v="SP-20920"/>
    <s v="Susan Pistek"/>
    <x v="2"/>
    <x v="0"/>
    <s v="Los Angeles"/>
    <x v="7"/>
    <n v="90036"/>
    <x v="1"/>
    <s v="OFF-PA-10002245"/>
    <x v="0"/>
    <x v="9"/>
    <x v="211"/>
    <n v="53.82"/>
    <x v="8"/>
    <x v="0"/>
    <n v="24.219000000000001"/>
    <x v="2"/>
    <x v="10"/>
    <x v="10"/>
  </r>
  <r>
    <n v="554"/>
    <s v="CA-2017-101945"/>
    <x v="422"/>
    <d v="2017-11-28T00:00:00"/>
    <x v="1"/>
    <s v="GT-14710"/>
    <s v="Greg Tran"/>
    <x v="2"/>
    <x v="0"/>
    <s v="Houston"/>
    <x v="11"/>
    <n v="77070"/>
    <x v="3"/>
    <s v="OFF-FA-10004248"/>
    <x v="0"/>
    <x v="12"/>
    <x v="476"/>
    <n v="10.824"/>
    <x v="2"/>
    <x v="1"/>
    <n v="2.5707"/>
    <x v="2"/>
    <x v="10"/>
    <x v="10"/>
  </r>
  <r>
    <n v="3261"/>
    <s v="CA-2014-151554"/>
    <x v="423"/>
    <d v="2014-11-15T00:00:00"/>
    <x v="2"/>
    <s v="CM-11815"/>
    <s v="Candace McMahon"/>
    <x v="0"/>
    <x v="0"/>
    <s v="Pasadena"/>
    <x v="11"/>
    <n v="77506"/>
    <x v="3"/>
    <s v="OFF-PA-10004609"/>
    <x v="0"/>
    <x v="9"/>
    <x v="477"/>
    <n v="20.736000000000001"/>
    <x v="6"/>
    <x v="1"/>
    <n v="7.2576000000000001"/>
    <x v="7"/>
    <x v="10"/>
    <x v="10"/>
  </r>
  <r>
    <n v="4176"/>
    <s v="CA-2015-154340"/>
    <x v="424"/>
    <d v="2015-11-30T00:00:00"/>
    <x v="2"/>
    <s v="EK-13795"/>
    <s v="Eileen Kiefer"/>
    <x v="1"/>
    <x v="0"/>
    <s v="Santa Ana"/>
    <x v="7"/>
    <n v="92704"/>
    <x v="1"/>
    <s v="OFF-AR-10003582"/>
    <x v="0"/>
    <x v="3"/>
    <x v="478"/>
    <n v="56.3"/>
    <x v="0"/>
    <x v="0"/>
    <n v="15.763999999999999"/>
    <x v="7"/>
    <x v="10"/>
    <x v="10"/>
  </r>
  <r>
    <n v="2743"/>
    <s v="CA-2014-149244"/>
    <x v="425"/>
    <d v="2014-11-08T00:00:00"/>
    <x v="1"/>
    <s v="MS-17530"/>
    <s v="MaryBeth Skach"/>
    <x v="2"/>
    <x v="0"/>
    <s v="San Diego"/>
    <x v="7"/>
    <n v="92037"/>
    <x v="1"/>
    <s v="FUR-FU-10004671"/>
    <x v="2"/>
    <x v="5"/>
    <x v="479"/>
    <n v="35.340000000000003"/>
    <x v="0"/>
    <x v="0"/>
    <n v="13.4292"/>
    <x v="2"/>
    <x v="10"/>
    <x v="10"/>
  </r>
  <r>
    <n v="4271"/>
    <s v="CA-2015-166975"/>
    <x v="426"/>
    <d v="2015-11-30T00:00:00"/>
    <x v="1"/>
    <s v="SH-20635"/>
    <s v="Stefanie Holloman"/>
    <x v="0"/>
    <x v="0"/>
    <s v="Jackson"/>
    <x v="17"/>
    <n v="38301"/>
    <x v="0"/>
    <s v="FUR-FU-10003930"/>
    <x v="2"/>
    <x v="5"/>
    <x v="480"/>
    <n v="692.47199999999998"/>
    <x v="12"/>
    <x v="1"/>
    <n v="190.4298"/>
    <x v="2"/>
    <x v="10"/>
    <x v="10"/>
  </r>
  <r>
    <n v="4499"/>
    <s v="CA-2014-103401"/>
    <x v="427"/>
    <d v="2014-11-26T00:00:00"/>
    <x v="1"/>
    <s v="GR-14560"/>
    <s v="Georgia Rosenberg"/>
    <x v="0"/>
    <x v="0"/>
    <s v="San Francisco"/>
    <x v="7"/>
    <n v="94110"/>
    <x v="1"/>
    <s v="OFF-PA-10003309"/>
    <x v="0"/>
    <x v="9"/>
    <x v="481"/>
    <n v="12.96"/>
    <x v="0"/>
    <x v="0"/>
    <n v="6.2207999999999997"/>
    <x v="1"/>
    <x v="10"/>
    <x v="10"/>
  </r>
  <r>
    <n v="5018"/>
    <s v="CA-2014-127558"/>
    <x v="428"/>
    <d v="2014-11-18T00:00:00"/>
    <x v="2"/>
    <s v="SS-20410"/>
    <s v="Shahid Shariari"/>
    <x v="2"/>
    <x v="0"/>
    <s v="Los Angeles"/>
    <x v="7"/>
    <n v="90008"/>
    <x v="1"/>
    <s v="FUR-FU-10002505"/>
    <x v="2"/>
    <x v="5"/>
    <x v="482"/>
    <n v="10.11"/>
    <x v="2"/>
    <x v="0"/>
    <n v="3.2351999999999999"/>
    <x v="3"/>
    <x v="10"/>
    <x v="10"/>
  </r>
  <r>
    <n v="895"/>
    <s v="CA-2016-105494"/>
    <x v="429"/>
    <d v="2016-11-12T00:00:00"/>
    <x v="2"/>
    <s v="PC-18745"/>
    <s v="Pamela Coakley"/>
    <x v="0"/>
    <x v="0"/>
    <s v="San Francisco"/>
    <x v="7"/>
    <n v="94122"/>
    <x v="1"/>
    <s v="OFF-ST-10002205"/>
    <x v="0"/>
    <x v="2"/>
    <x v="483"/>
    <n v="155.82"/>
    <x v="4"/>
    <x v="0"/>
    <n v="42.071399999999997"/>
    <x v="0"/>
    <x v="10"/>
    <x v="10"/>
  </r>
  <r>
    <n v="623"/>
    <s v="CA-2015-138009"/>
    <x v="424"/>
    <d v="2015-12-03T00:00:00"/>
    <x v="1"/>
    <s v="SF-20965"/>
    <s v="Sylvia Foulston"/>
    <x v="0"/>
    <x v="0"/>
    <s v="Dearborn"/>
    <x v="13"/>
    <n v="48126"/>
    <x v="3"/>
    <s v="FUR-CH-10004853"/>
    <x v="2"/>
    <x v="13"/>
    <x v="484"/>
    <n v="301.95999999999998"/>
    <x v="0"/>
    <x v="0"/>
    <n v="87.568399999999997"/>
    <x v="2"/>
    <x v="10"/>
    <x v="10"/>
  </r>
  <r>
    <n v="547"/>
    <s v="CA-2017-162929"/>
    <x v="430"/>
    <d v="2017-11-22T00:00:00"/>
    <x v="2"/>
    <s v="AS-10135"/>
    <s v="Adrian Shami"/>
    <x v="1"/>
    <x v="0"/>
    <s v="New York City"/>
    <x v="20"/>
    <n v="10035"/>
    <x v="2"/>
    <s v="OFF-BI-10000404"/>
    <x v="0"/>
    <x v="10"/>
    <x v="485"/>
    <n v="41.28"/>
    <x v="7"/>
    <x v="1"/>
    <n v="13.932"/>
    <x v="3"/>
    <x v="10"/>
    <x v="10"/>
  </r>
  <r>
    <n v="615"/>
    <s v="CA-2017-138611"/>
    <x v="431"/>
    <d v="2017-11-17T00:00:00"/>
    <x v="0"/>
    <s v="CK-12595"/>
    <s v="Clytie Kelty"/>
    <x v="2"/>
    <x v="0"/>
    <s v="Grove City"/>
    <x v="3"/>
    <n v="43123"/>
    <x v="2"/>
    <s v="TEC-PH-10000011"/>
    <x v="1"/>
    <x v="7"/>
    <x v="486"/>
    <n v="119.94"/>
    <x v="11"/>
    <x v="5"/>
    <n v="15.992000000000001"/>
    <x v="3"/>
    <x v="10"/>
    <x v="10"/>
  </r>
  <r>
    <n v="9400"/>
    <s v="CA-2016-103128"/>
    <x v="432"/>
    <d v="2016-11-15T00:00:00"/>
    <x v="1"/>
    <s v="SC-20845"/>
    <s v="Sung Chung"/>
    <x v="2"/>
    <x v="0"/>
    <s v="Arlington Heights"/>
    <x v="5"/>
    <n v="60004"/>
    <x v="3"/>
    <s v="OFF-AR-10003394"/>
    <x v="0"/>
    <x v="3"/>
    <x v="487"/>
    <n v="14.112"/>
    <x v="7"/>
    <x v="1"/>
    <n v="1.2347999999999999"/>
    <x v="2"/>
    <x v="10"/>
    <x v="10"/>
  </r>
  <r>
    <n v="2504"/>
    <s v="CA-2016-149482"/>
    <x v="433"/>
    <d v="2016-11-19T00:00:00"/>
    <x v="1"/>
    <s v="RR-19315"/>
    <s v="Ralph Ritter"/>
    <x v="2"/>
    <x v="0"/>
    <s v="San Francisco"/>
    <x v="7"/>
    <n v="94110"/>
    <x v="1"/>
    <s v="OFF-LA-10000248"/>
    <x v="0"/>
    <x v="1"/>
    <x v="488"/>
    <n v="7.38"/>
    <x v="0"/>
    <x v="0"/>
    <n v="3.4685999999999999"/>
    <x v="1"/>
    <x v="10"/>
    <x v="10"/>
  </r>
  <r>
    <n v="129"/>
    <s v="US-2016-125969"/>
    <x v="434"/>
    <d v="2016-11-10T00:00:00"/>
    <x v="0"/>
    <s v="LS-16975"/>
    <s v="Lindsay Shagiari"/>
    <x v="1"/>
    <x v="0"/>
    <s v="Los Angeles"/>
    <x v="7"/>
    <n v="90004"/>
    <x v="1"/>
    <s v="FUR-CH-10001146"/>
    <x v="2"/>
    <x v="13"/>
    <x v="489"/>
    <n v="81.424000000000007"/>
    <x v="0"/>
    <x v="1"/>
    <n v="-9.1601999999999997"/>
    <x v="2"/>
    <x v="10"/>
    <x v="10"/>
  </r>
  <r>
    <n v="3832"/>
    <s v="US-2015-111927"/>
    <x v="435"/>
    <d v="2015-11-19T00:00:00"/>
    <x v="1"/>
    <s v="LS-17230"/>
    <s v="Lycoris Saunders"/>
    <x v="2"/>
    <x v="0"/>
    <s v="Dover"/>
    <x v="14"/>
    <n v="19901"/>
    <x v="2"/>
    <s v="FUR-FU-10004017"/>
    <x v="2"/>
    <x v="5"/>
    <x v="490"/>
    <n v="76.14"/>
    <x v="2"/>
    <x v="0"/>
    <n v="26.649000000000001"/>
    <x v="1"/>
    <x v="10"/>
    <x v="10"/>
  </r>
  <r>
    <n v="5343"/>
    <s v="US-2014-168501"/>
    <x v="427"/>
    <d v="2014-11-27T00:00:00"/>
    <x v="1"/>
    <s v="JK-15325"/>
    <s v="Jason Klamczynski"/>
    <x v="0"/>
    <x v="0"/>
    <s v="Dallas"/>
    <x v="11"/>
    <n v="75220"/>
    <x v="3"/>
    <s v="OFF-EN-10001509"/>
    <x v="0"/>
    <x v="0"/>
    <x v="461"/>
    <n v="1.6319999999999999"/>
    <x v="1"/>
    <x v="1"/>
    <n v="0.55079999999999996"/>
    <x v="4"/>
    <x v="10"/>
    <x v="10"/>
  </r>
  <r>
    <n v="112"/>
    <s v="CA-2016-128867"/>
    <x v="436"/>
    <d v="2016-11-10T00:00:00"/>
    <x v="1"/>
    <s v="CL-12565"/>
    <s v="Clay Ludtke"/>
    <x v="2"/>
    <x v="0"/>
    <s v="Urbandale"/>
    <x v="12"/>
    <n v="50322"/>
    <x v="3"/>
    <s v="OFF-AR-10000380"/>
    <x v="0"/>
    <x v="3"/>
    <x v="491"/>
    <n v="75.959999999999994"/>
    <x v="0"/>
    <x v="0"/>
    <n v="22.788"/>
    <x v="5"/>
    <x v="10"/>
    <x v="10"/>
  </r>
  <r>
    <n v="3260"/>
    <s v="US-2016-162103"/>
    <x v="437"/>
    <d v="2016-11-17T00:00:00"/>
    <x v="1"/>
    <s v="LB-16795"/>
    <s v="Laurel Beltran"/>
    <x v="1"/>
    <x v="0"/>
    <s v="Highland Park"/>
    <x v="5"/>
    <n v="60035"/>
    <x v="3"/>
    <s v="OFF-BI-10000285"/>
    <x v="0"/>
    <x v="10"/>
    <x v="492"/>
    <n v="3.1360000000000001"/>
    <x v="0"/>
    <x v="6"/>
    <n v="-4.7039999999999997"/>
    <x v="2"/>
    <x v="10"/>
    <x v="10"/>
  </r>
  <r>
    <n v="3378"/>
    <s v="CA-2016-100671"/>
    <x v="438"/>
    <d v="2016-11-04T00:00:00"/>
    <x v="2"/>
    <s v="CS-12490"/>
    <s v="Cindy Schnelling"/>
    <x v="0"/>
    <x v="0"/>
    <s v="Conroe"/>
    <x v="11"/>
    <n v="77301"/>
    <x v="3"/>
    <s v="OFF-ST-10004950"/>
    <x v="0"/>
    <x v="2"/>
    <x v="493"/>
    <n v="111.672"/>
    <x v="8"/>
    <x v="1"/>
    <n v="6.9794999999999998"/>
    <x v="3"/>
    <x v="10"/>
    <x v="10"/>
  </r>
  <r>
    <n v="3239"/>
    <s v="US-2016-127971"/>
    <x v="439"/>
    <d v="2016-11-27T00:00:00"/>
    <x v="1"/>
    <s v="DW-13195"/>
    <s v="David Wiener"/>
    <x v="0"/>
    <x v="0"/>
    <s v="Houston"/>
    <x v="11"/>
    <n v="77095"/>
    <x v="3"/>
    <s v="FUR-CH-10003774"/>
    <x v="2"/>
    <x v="13"/>
    <x v="494"/>
    <n v="318.43"/>
    <x v="3"/>
    <x v="8"/>
    <n v="-77.332999999999998"/>
    <x v="5"/>
    <x v="10"/>
    <x v="10"/>
  </r>
  <r>
    <n v="3399"/>
    <s v="CA-2014-102274"/>
    <x v="427"/>
    <d v="2014-11-26T00:00:00"/>
    <x v="1"/>
    <s v="DH-13075"/>
    <s v="Dave Hallsten"/>
    <x v="0"/>
    <x v="0"/>
    <s v="Richmond"/>
    <x v="24"/>
    <n v="40475"/>
    <x v="0"/>
    <s v="TEC-PH-10002923"/>
    <x v="1"/>
    <x v="7"/>
    <x v="181"/>
    <n v="36.99"/>
    <x v="1"/>
    <x v="0"/>
    <n v="9.9872999999999994"/>
    <x v="1"/>
    <x v="10"/>
    <x v="10"/>
  </r>
  <r>
    <n v="472"/>
    <s v="CA-2014-144666"/>
    <x v="440"/>
    <d v="2014-11-11T00:00:00"/>
    <x v="0"/>
    <s v="JP-15520"/>
    <s v="Jeremy Pistek"/>
    <x v="2"/>
    <x v="0"/>
    <s v="San Francisco"/>
    <x v="7"/>
    <n v="94110"/>
    <x v="1"/>
    <s v="OFF-ST-10002743"/>
    <x v="0"/>
    <x v="2"/>
    <x v="432"/>
    <n v="340.92"/>
    <x v="2"/>
    <x v="0"/>
    <n v="3.4091999999999998"/>
    <x v="0"/>
    <x v="10"/>
    <x v="10"/>
  </r>
  <r>
    <n v="575"/>
    <s v="CA-2016-127250"/>
    <x v="436"/>
    <d v="2016-11-07T00:00:00"/>
    <x v="1"/>
    <s v="SF-20200"/>
    <s v="Sarah Foster"/>
    <x v="2"/>
    <x v="0"/>
    <s v="Marysville"/>
    <x v="2"/>
    <n v="98270"/>
    <x v="1"/>
    <s v="OFF-AR-10003394"/>
    <x v="0"/>
    <x v="3"/>
    <x v="487"/>
    <n v="8.82"/>
    <x v="2"/>
    <x v="0"/>
    <n v="2.3814000000000002"/>
    <x v="2"/>
    <x v="10"/>
    <x v="10"/>
  </r>
  <r>
    <n v="85"/>
    <s v="US-2017-119662"/>
    <x v="441"/>
    <d v="2017-11-16T00:00:00"/>
    <x v="2"/>
    <s v="CS-12400"/>
    <s v="Christopher Schild"/>
    <x v="1"/>
    <x v="0"/>
    <s v="Chicago"/>
    <x v="5"/>
    <n v="60623"/>
    <x v="3"/>
    <s v="OFF-ST-10003656"/>
    <x v="0"/>
    <x v="2"/>
    <x v="133"/>
    <n v="230.376"/>
    <x v="2"/>
    <x v="1"/>
    <n v="-48.954900000000002"/>
    <x v="3"/>
    <x v="10"/>
    <x v="10"/>
  </r>
  <r>
    <n v="5838"/>
    <s v="CA-2017-133207"/>
    <x v="442"/>
    <d v="2017-12-03T00:00:00"/>
    <x v="1"/>
    <s v="DO-13645"/>
    <s v="Doug O'Connell"/>
    <x v="2"/>
    <x v="0"/>
    <s v="Los Angeles"/>
    <x v="7"/>
    <n v="90036"/>
    <x v="1"/>
    <s v="TEC-PH-10004100"/>
    <x v="1"/>
    <x v="7"/>
    <x v="495"/>
    <n v="57.567999999999998"/>
    <x v="6"/>
    <x v="1"/>
    <n v="5.7568000000000001"/>
    <x v="4"/>
    <x v="10"/>
    <x v="10"/>
  </r>
  <r>
    <n v="5503"/>
    <s v="CA-2017-127782"/>
    <x v="443"/>
    <d v="2017-11-06T00:00:00"/>
    <x v="1"/>
    <s v="TH-21115"/>
    <s v="Thea Hudgings"/>
    <x v="0"/>
    <x v="0"/>
    <s v="Philadelphia"/>
    <x v="31"/>
    <n v="19140"/>
    <x v="2"/>
    <s v="FUR-FU-10001847"/>
    <x v="2"/>
    <x v="5"/>
    <x v="496"/>
    <n v="3.3119999999999998"/>
    <x v="1"/>
    <x v="1"/>
    <n v="0.66239999999999999"/>
    <x v="2"/>
    <x v="10"/>
    <x v="10"/>
  </r>
  <r>
    <n v="3464"/>
    <s v="CA-2016-165470"/>
    <x v="444"/>
    <d v="2016-11-30T00:00:00"/>
    <x v="1"/>
    <s v="HJ-14875"/>
    <s v="Heather Jas"/>
    <x v="1"/>
    <x v="0"/>
    <s v="Jacksonville"/>
    <x v="22"/>
    <n v="32216"/>
    <x v="0"/>
    <s v="OFF-PA-10004675"/>
    <x v="0"/>
    <x v="9"/>
    <x v="497"/>
    <n v="5.08"/>
    <x v="1"/>
    <x v="1"/>
    <n v="1.651"/>
    <x v="1"/>
    <x v="10"/>
    <x v="10"/>
  </r>
  <r>
    <n v="15"/>
    <s v="US-2015-118983"/>
    <x v="445"/>
    <d v="2015-11-26T00:00:00"/>
    <x v="1"/>
    <s v="HP-14815"/>
    <s v="Harold Pawlan"/>
    <x v="1"/>
    <x v="0"/>
    <s v="Fort Worth"/>
    <x v="11"/>
    <n v="76106"/>
    <x v="3"/>
    <s v="OFF-AP-10002311"/>
    <x v="0"/>
    <x v="14"/>
    <x v="498"/>
    <n v="68.81"/>
    <x v="3"/>
    <x v="6"/>
    <n v="-123.858"/>
    <x v="2"/>
    <x v="10"/>
    <x v="10"/>
  </r>
  <r>
    <n v="96"/>
    <s v="US-2017-109484"/>
    <x v="446"/>
    <d v="2017-11-12T00:00:00"/>
    <x v="1"/>
    <s v="RB-19705"/>
    <s v="Roger Barcio"/>
    <x v="1"/>
    <x v="0"/>
    <s v="Portland"/>
    <x v="26"/>
    <n v="97206"/>
    <x v="1"/>
    <s v="OFF-BI-10004738"/>
    <x v="0"/>
    <x v="10"/>
    <x v="499"/>
    <n v="5.6820000000000004"/>
    <x v="1"/>
    <x v="7"/>
    <n v="-3.7879999999999998"/>
    <x v="4"/>
    <x v="10"/>
    <x v="10"/>
  </r>
  <r>
    <n v="97"/>
    <s v="CA-2017-161018"/>
    <x v="447"/>
    <d v="2017-11-11T00:00:00"/>
    <x v="0"/>
    <s v="PN-18775"/>
    <s v="Parhena Norris"/>
    <x v="1"/>
    <x v="0"/>
    <s v="New York City"/>
    <x v="20"/>
    <n v="10009"/>
    <x v="2"/>
    <s v="FUR-FU-10000629"/>
    <x v="2"/>
    <x v="5"/>
    <x v="500"/>
    <n v="96.53"/>
    <x v="4"/>
    <x v="0"/>
    <n v="40.5426"/>
    <x v="0"/>
    <x v="10"/>
    <x v="10"/>
  </r>
  <r>
    <n v="843"/>
    <s v="CA-2016-161669"/>
    <x v="448"/>
    <d v="2016-11-09T00:00:00"/>
    <x v="2"/>
    <s v="EM-14095"/>
    <s v="Eudokia Martin"/>
    <x v="0"/>
    <x v="0"/>
    <s v="Los Angeles"/>
    <x v="7"/>
    <n v="90036"/>
    <x v="1"/>
    <s v="OFF-BI-10001294"/>
    <x v="0"/>
    <x v="10"/>
    <x v="175"/>
    <n v="37.44"/>
    <x v="6"/>
    <x v="1"/>
    <n v="11.7"/>
    <x v="0"/>
    <x v="10"/>
    <x v="10"/>
  </r>
  <r>
    <n v="3602"/>
    <s v="CA-2014-159835"/>
    <x v="449"/>
    <d v="2014-11-24T00:00:00"/>
    <x v="1"/>
    <s v="RB-19330"/>
    <s v="Randy Bradley"/>
    <x v="2"/>
    <x v="0"/>
    <s v="Philadelphia"/>
    <x v="31"/>
    <n v="19143"/>
    <x v="2"/>
    <s v="OFF-PA-10002137"/>
    <x v="0"/>
    <x v="9"/>
    <x v="501"/>
    <n v="12.448"/>
    <x v="0"/>
    <x v="1"/>
    <n v="3.89"/>
    <x v="5"/>
    <x v="10"/>
    <x v="10"/>
  </r>
  <r>
    <n v="6791"/>
    <s v="CA-2016-124527"/>
    <x v="450"/>
    <d v="2016-11-17T00:00:00"/>
    <x v="2"/>
    <s v="IM-15055"/>
    <s v="Ionia McGrath"/>
    <x v="2"/>
    <x v="0"/>
    <s v="Roseville"/>
    <x v="7"/>
    <n v="95661"/>
    <x v="1"/>
    <s v="OFF-BI-10004967"/>
    <x v="0"/>
    <x v="10"/>
    <x v="502"/>
    <n v="8.32"/>
    <x v="3"/>
    <x v="1"/>
    <n v="2.8079999999999998"/>
    <x v="7"/>
    <x v="10"/>
    <x v="10"/>
  </r>
  <r>
    <n v="3612"/>
    <s v="US-2016-131674"/>
    <x v="451"/>
    <d v="2016-12-01T00:00:00"/>
    <x v="0"/>
    <s v="NC-18535"/>
    <s v="Nick Crebassa"/>
    <x v="0"/>
    <x v="0"/>
    <s v="Dallas"/>
    <x v="11"/>
    <n v="75217"/>
    <x v="3"/>
    <s v="TEC-AC-10004864"/>
    <x v="1"/>
    <x v="4"/>
    <x v="503"/>
    <n v="58.415999999999997"/>
    <x v="0"/>
    <x v="1"/>
    <n v="16.794599999999999"/>
    <x v="0"/>
    <x v="10"/>
    <x v="10"/>
  </r>
  <r>
    <n v="560"/>
    <s v="CA-2017-118731"/>
    <x v="452"/>
    <d v="2017-11-22T00:00:00"/>
    <x v="0"/>
    <s v="LP-17080"/>
    <s v="Liz Pelletier"/>
    <x v="2"/>
    <x v="0"/>
    <s v="San Francisco"/>
    <x v="7"/>
    <n v="94110"/>
    <x v="1"/>
    <s v="FUR-FU-10003347"/>
    <x v="2"/>
    <x v="5"/>
    <x v="504"/>
    <n v="42.6"/>
    <x v="2"/>
    <x v="0"/>
    <n v="16.614000000000001"/>
    <x v="0"/>
    <x v="10"/>
    <x v="10"/>
  </r>
  <r>
    <n v="800"/>
    <s v="CA-2015-101910"/>
    <x v="453"/>
    <d v="2015-12-03T00:00:00"/>
    <x v="1"/>
    <s v="CD-11920"/>
    <s v="Carlos Daly"/>
    <x v="2"/>
    <x v="0"/>
    <s v="Lake Elsinore"/>
    <x v="7"/>
    <n v="92530"/>
    <x v="1"/>
    <s v="FUR-CH-10002647"/>
    <x v="2"/>
    <x v="13"/>
    <x v="208"/>
    <n v="283.92"/>
    <x v="3"/>
    <x v="1"/>
    <n v="17.745000000000001"/>
    <x v="4"/>
    <x v="10"/>
    <x v="10"/>
  </r>
  <r>
    <n v="2950"/>
    <s v="CA-2017-134915"/>
    <x v="454"/>
    <d v="2017-11-12T00:00:00"/>
    <x v="3"/>
    <s v="EM-14140"/>
    <s v="Eugene Moren"/>
    <x v="1"/>
    <x v="0"/>
    <s v="Glendale"/>
    <x v="19"/>
    <n v="85301"/>
    <x v="1"/>
    <s v="TEC-AC-10001266"/>
    <x v="1"/>
    <x v="4"/>
    <x v="36"/>
    <n v="41.6"/>
    <x v="6"/>
    <x v="1"/>
    <n v="13"/>
    <x v="6"/>
    <x v="10"/>
    <x v="10"/>
  </r>
  <r>
    <n v="415"/>
    <s v="CA-2017-142636"/>
    <x v="455"/>
    <d v="2017-11-07T00:00:00"/>
    <x v="1"/>
    <s v="KC-16675"/>
    <s v="Kimberly Carter"/>
    <x v="0"/>
    <x v="0"/>
    <s v="Seattle"/>
    <x v="2"/>
    <n v="98105"/>
    <x v="1"/>
    <s v="OFF-PA-10000157"/>
    <x v="0"/>
    <x v="9"/>
    <x v="505"/>
    <n v="139.86000000000001"/>
    <x v="4"/>
    <x v="0"/>
    <n v="65.734200000000001"/>
    <x v="2"/>
    <x v="10"/>
    <x v="10"/>
  </r>
  <r>
    <n v="104"/>
    <s v="US-2015-156867"/>
    <x v="456"/>
    <d v="2015-11-17T00:00:00"/>
    <x v="1"/>
    <s v="LC-16870"/>
    <s v="Lena Cacioppo"/>
    <x v="2"/>
    <x v="0"/>
    <s v="Aurora"/>
    <x v="9"/>
    <n v="80013"/>
    <x v="1"/>
    <s v="TEC-AC-10001552"/>
    <x v="1"/>
    <x v="4"/>
    <x v="506"/>
    <n v="238.89599999999999"/>
    <x v="7"/>
    <x v="1"/>
    <n v="-26.875800000000002"/>
    <x v="2"/>
    <x v="10"/>
    <x v="10"/>
  </r>
  <r>
    <n v="107"/>
    <s v="CA-2017-119004"/>
    <x v="457"/>
    <d v="2017-11-28T00:00:00"/>
    <x v="1"/>
    <s v="JM-15250"/>
    <s v="Janet Martin"/>
    <x v="2"/>
    <x v="0"/>
    <s v="Charlotte"/>
    <x v="8"/>
    <n v="28205"/>
    <x v="0"/>
    <s v="TEC-AC-10003499"/>
    <x v="1"/>
    <x v="4"/>
    <x v="352"/>
    <n v="74.111999999999995"/>
    <x v="5"/>
    <x v="1"/>
    <n v="17.601600000000001"/>
    <x v="1"/>
    <x v="10"/>
    <x v="10"/>
  </r>
  <r>
    <n v="63"/>
    <s v="CA-2015-135545"/>
    <x v="458"/>
    <d v="2015-11-30T00:00:00"/>
    <x v="1"/>
    <s v="KM-16720"/>
    <s v="Kunst Miller"/>
    <x v="2"/>
    <x v="0"/>
    <s v="Los Angeles"/>
    <x v="7"/>
    <n v="90004"/>
    <x v="1"/>
    <s v="TEC-AC-10004633"/>
    <x v="1"/>
    <x v="4"/>
    <x v="507"/>
    <n v="13.98"/>
    <x v="0"/>
    <x v="0"/>
    <n v="6.1512000000000002"/>
    <x v="4"/>
    <x v="10"/>
    <x v="10"/>
  </r>
  <r>
    <n v="532"/>
    <s v="CA-2015-102848"/>
    <x v="459"/>
    <d v="2015-11-09T00:00:00"/>
    <x v="0"/>
    <s v="KB-16240"/>
    <s v="Karen Bern"/>
    <x v="0"/>
    <x v="0"/>
    <s v="Los Angeles"/>
    <x v="7"/>
    <n v="90036"/>
    <x v="1"/>
    <s v="FUR-CH-10000595"/>
    <x v="2"/>
    <x v="13"/>
    <x v="508"/>
    <n v="190.72"/>
    <x v="1"/>
    <x v="1"/>
    <n v="11.92"/>
    <x v="0"/>
    <x v="10"/>
    <x v="10"/>
  </r>
  <r>
    <n v="838"/>
    <s v="US-2017-156083"/>
    <x v="418"/>
    <d v="2017-11-11T00:00:00"/>
    <x v="1"/>
    <s v="JL-15175"/>
    <s v="James Lanier"/>
    <x v="1"/>
    <x v="0"/>
    <s v="Columbia"/>
    <x v="17"/>
    <n v="38401"/>
    <x v="0"/>
    <s v="OFF-PA-10001560"/>
    <x v="0"/>
    <x v="9"/>
    <x v="509"/>
    <n v="9.6639999999999997"/>
    <x v="0"/>
    <x v="1"/>
    <n v="3.2616000000000001"/>
    <x v="5"/>
    <x v="10"/>
    <x v="10"/>
  </r>
  <r>
    <n v="840"/>
    <s v="CA-2015-100454"/>
    <x v="460"/>
    <d v="2015-11-25T00:00:00"/>
    <x v="1"/>
    <s v="BM-11650"/>
    <s v="Brian Moss"/>
    <x v="0"/>
    <x v="0"/>
    <s v="New York City"/>
    <x v="20"/>
    <n v="10035"/>
    <x v="2"/>
    <s v="OFF-AR-10004648"/>
    <x v="0"/>
    <x v="3"/>
    <x v="510"/>
    <n v="60.45"/>
    <x v="2"/>
    <x v="0"/>
    <n v="16.3215"/>
    <x v="1"/>
    <x v="10"/>
    <x v="10"/>
  </r>
  <r>
    <n v="2803"/>
    <s v="CA-2017-143329"/>
    <x v="455"/>
    <d v="2017-11-08T00:00:00"/>
    <x v="1"/>
    <s v="DL-13330"/>
    <s v="Denise Leinenbach"/>
    <x v="2"/>
    <x v="0"/>
    <s v="Las Cruces"/>
    <x v="30"/>
    <n v="88001"/>
    <x v="1"/>
    <s v="FUR-FU-10000629"/>
    <x v="2"/>
    <x v="5"/>
    <x v="500"/>
    <n v="41.37"/>
    <x v="2"/>
    <x v="0"/>
    <n v="17.375399999999999"/>
    <x v="1"/>
    <x v="10"/>
    <x v="10"/>
  </r>
  <r>
    <n v="3024"/>
    <s v="CA-2017-124674"/>
    <x v="461"/>
    <d v="2017-11-23T00:00:00"/>
    <x v="1"/>
    <s v="JB-16000"/>
    <s v="Joy Bell-"/>
    <x v="2"/>
    <x v="0"/>
    <s v="Brownsville"/>
    <x v="11"/>
    <n v="78521"/>
    <x v="3"/>
    <s v="FUR-BO-10002202"/>
    <x v="2"/>
    <x v="8"/>
    <x v="99"/>
    <n v="327.7328"/>
    <x v="0"/>
    <x v="11"/>
    <n v="-14.4588"/>
    <x v="4"/>
    <x v="10"/>
    <x v="10"/>
  </r>
  <r>
    <n v="17"/>
    <s v="CA-2014-105893"/>
    <x v="462"/>
    <d v="2014-11-18T00:00:00"/>
    <x v="1"/>
    <s v="PK-19075"/>
    <s v="Pete Kriz"/>
    <x v="2"/>
    <x v="0"/>
    <s v="Madison"/>
    <x v="16"/>
    <n v="53711"/>
    <x v="3"/>
    <s v="OFF-ST-10004186"/>
    <x v="0"/>
    <x v="2"/>
    <x v="511"/>
    <n v="665.88"/>
    <x v="7"/>
    <x v="0"/>
    <n v="13.317600000000001"/>
    <x v="5"/>
    <x v="10"/>
    <x v="10"/>
  </r>
  <r>
    <n v="2493"/>
    <s v="CA-2014-144624"/>
    <x v="463"/>
    <d v="2014-11-23T00:00:00"/>
    <x v="1"/>
    <s v="JM-15865"/>
    <s v="John Murray"/>
    <x v="2"/>
    <x v="0"/>
    <s v="Jamestown"/>
    <x v="20"/>
    <n v="14701"/>
    <x v="2"/>
    <s v="TEC-PH-10002885"/>
    <x v="1"/>
    <x v="7"/>
    <x v="512"/>
    <n v="4548.8100000000004"/>
    <x v="4"/>
    <x v="0"/>
    <n v="1228.1786999999999"/>
    <x v="2"/>
    <x v="10"/>
    <x v="10"/>
  </r>
  <r>
    <n v="1"/>
    <s v="CA-2016-152156"/>
    <x v="464"/>
    <d v="2016-11-11T00:00:00"/>
    <x v="0"/>
    <s v="CG-12520"/>
    <s v="Claire Gute"/>
    <x v="2"/>
    <x v="0"/>
    <s v="Henderson"/>
    <x v="24"/>
    <n v="42420"/>
    <x v="0"/>
    <s v="FUR-BO-10001798"/>
    <x v="2"/>
    <x v="8"/>
    <x v="513"/>
    <n v="261.95999999999998"/>
    <x v="0"/>
    <x v="0"/>
    <n v="41.913600000000002"/>
    <x v="3"/>
    <x v="10"/>
    <x v="10"/>
  </r>
  <r>
    <n v="1073"/>
    <s v="CA-2017-106943"/>
    <x v="431"/>
    <d v="2017-11-19T00:00:00"/>
    <x v="1"/>
    <s v="FO-14305"/>
    <s v="Frank Olsen"/>
    <x v="2"/>
    <x v="0"/>
    <s v="New York City"/>
    <x v="20"/>
    <n v="10035"/>
    <x v="2"/>
    <s v="OFF-BI-10003669"/>
    <x v="0"/>
    <x v="10"/>
    <x v="514"/>
    <n v="8.64"/>
    <x v="0"/>
    <x v="1"/>
    <n v="3.024"/>
    <x v="1"/>
    <x v="10"/>
    <x v="10"/>
  </r>
  <r>
    <n v="1071"/>
    <s v="CA-2015-144652"/>
    <x v="460"/>
    <d v="2015-11-26T00:00:00"/>
    <x v="1"/>
    <s v="SN-20560"/>
    <s v="Skye Norling"/>
    <x v="1"/>
    <x v="0"/>
    <s v="Los Angeles"/>
    <x v="7"/>
    <n v="90008"/>
    <x v="1"/>
    <s v="OFF-AR-10003732"/>
    <x v="0"/>
    <x v="3"/>
    <x v="515"/>
    <n v="19.46"/>
    <x v="4"/>
    <x v="0"/>
    <n v="5.0595999999999997"/>
    <x v="4"/>
    <x v="10"/>
    <x v="10"/>
  </r>
  <r>
    <n v="255"/>
    <s v="US-2015-159982"/>
    <x v="465"/>
    <d v="2015-12-04T00:00:00"/>
    <x v="1"/>
    <s v="DR-12880"/>
    <s v="Dan Reichenbach"/>
    <x v="0"/>
    <x v="0"/>
    <s v="Chicago"/>
    <x v="5"/>
    <n v="60623"/>
    <x v="3"/>
    <s v="FUR-FU-10002505"/>
    <x v="2"/>
    <x v="5"/>
    <x v="482"/>
    <n v="12.132"/>
    <x v="8"/>
    <x v="4"/>
    <n v="-8.4923999999999999"/>
    <x v="4"/>
    <x v="10"/>
    <x v="10"/>
  </r>
  <r>
    <n v="1060"/>
    <s v="CA-2016-105284"/>
    <x v="466"/>
    <d v="2016-12-01T00:00:00"/>
    <x v="1"/>
    <s v="MG-17650"/>
    <s v="Matthew Grinstein"/>
    <x v="1"/>
    <x v="0"/>
    <s v="Philadelphia"/>
    <x v="31"/>
    <n v="19143"/>
    <x v="2"/>
    <s v="OFF-FA-10001754"/>
    <x v="0"/>
    <x v="12"/>
    <x v="516"/>
    <n v="4.4160000000000004"/>
    <x v="2"/>
    <x v="1"/>
    <n v="1.6008"/>
    <x v="5"/>
    <x v="10"/>
    <x v="10"/>
  </r>
  <r>
    <n v="2072"/>
    <s v="US-2017-110996"/>
    <x v="452"/>
    <d v="2017-11-25T00:00:00"/>
    <x v="1"/>
    <s v="KA-16525"/>
    <s v="Kelly Andreada"/>
    <x v="2"/>
    <x v="0"/>
    <s v="Ontario"/>
    <x v="7"/>
    <n v="91761"/>
    <x v="1"/>
    <s v="FUR-CH-10003956"/>
    <x v="2"/>
    <x v="13"/>
    <x v="285"/>
    <n v="283.92"/>
    <x v="3"/>
    <x v="1"/>
    <n v="-46.137"/>
    <x v="1"/>
    <x v="10"/>
    <x v="10"/>
  </r>
  <r>
    <n v="2073"/>
    <s v="CA-2016-129693"/>
    <x v="467"/>
    <d v="2016-12-02T00:00:00"/>
    <x v="1"/>
    <s v="TC-20980"/>
    <s v="Tamara Chand"/>
    <x v="0"/>
    <x v="0"/>
    <s v="Seattle"/>
    <x v="2"/>
    <n v="98105"/>
    <x v="1"/>
    <s v="OFF-BI-10002954"/>
    <x v="0"/>
    <x v="10"/>
    <x v="517"/>
    <n v="7.3120000000000003"/>
    <x v="0"/>
    <x v="1"/>
    <n v="2.5592000000000001"/>
    <x v="4"/>
    <x v="10"/>
    <x v="10"/>
  </r>
  <r>
    <n v="1653"/>
    <s v="US-2017-132444"/>
    <x v="468"/>
    <d v="2017-11-21T00:00:00"/>
    <x v="2"/>
    <s v="CD-12280"/>
    <s v="Christina DeMoss"/>
    <x v="2"/>
    <x v="0"/>
    <s v="Seattle"/>
    <x v="2"/>
    <n v="98105"/>
    <x v="1"/>
    <s v="OFF-ST-10003442"/>
    <x v="0"/>
    <x v="2"/>
    <x v="140"/>
    <n v="169.68"/>
    <x v="7"/>
    <x v="0"/>
    <n v="45.813600000000001"/>
    <x v="3"/>
    <x v="10"/>
    <x v="10"/>
  </r>
  <r>
    <n v="1034"/>
    <s v="CA-2016-109820"/>
    <x v="439"/>
    <d v="2016-11-22T00:00:00"/>
    <x v="2"/>
    <s v="AG-10390"/>
    <s v="Allen Goldenen"/>
    <x v="2"/>
    <x v="0"/>
    <s v="Cincinnati"/>
    <x v="3"/>
    <n v="45231"/>
    <x v="2"/>
    <s v="OFF-PA-10000955"/>
    <x v="0"/>
    <x v="9"/>
    <x v="518"/>
    <n v="15.696"/>
    <x v="2"/>
    <x v="1"/>
    <n v="5.1012000000000004"/>
    <x v="0"/>
    <x v="10"/>
    <x v="10"/>
  </r>
  <r>
    <n v="1492"/>
    <s v="CA-2017-166436"/>
    <x v="422"/>
    <d v="2017-11-28T00:00:00"/>
    <x v="1"/>
    <s v="TS-21370"/>
    <s v="Todd Sumrall"/>
    <x v="0"/>
    <x v="0"/>
    <s v="New York City"/>
    <x v="20"/>
    <n v="10035"/>
    <x v="2"/>
    <s v="OFF-PA-10001838"/>
    <x v="0"/>
    <x v="9"/>
    <x v="519"/>
    <n v="5.88"/>
    <x v="1"/>
    <x v="0"/>
    <n v="2.8812000000000002"/>
    <x v="2"/>
    <x v="10"/>
    <x v="10"/>
  </r>
  <r>
    <n v="2134"/>
    <s v="CA-2015-122210"/>
    <x v="469"/>
    <d v="2015-12-04T00:00:00"/>
    <x v="1"/>
    <s v="WB-21850"/>
    <s v="William Brown"/>
    <x v="2"/>
    <x v="0"/>
    <s v="Philadelphia"/>
    <x v="31"/>
    <n v="19134"/>
    <x v="2"/>
    <s v="OFF-BI-10003656"/>
    <x v="0"/>
    <x v="10"/>
    <x v="520"/>
    <n v="152.99100000000001"/>
    <x v="2"/>
    <x v="7"/>
    <n v="-122.39279999999999"/>
    <x v="2"/>
    <x v="10"/>
    <x v="10"/>
  </r>
  <r>
    <n v="1490"/>
    <s v="CA-2014-136280"/>
    <x v="470"/>
    <d v="2014-12-06T00:00:00"/>
    <x v="1"/>
    <s v="Co-12640"/>
    <s v="Corey-Lock"/>
    <x v="2"/>
    <x v="0"/>
    <s v="Philadelphia"/>
    <x v="31"/>
    <n v="19143"/>
    <x v="2"/>
    <s v="OFF-LA-10000452"/>
    <x v="0"/>
    <x v="1"/>
    <x v="521"/>
    <n v="5.04"/>
    <x v="0"/>
    <x v="1"/>
    <n v="1.764"/>
    <x v="5"/>
    <x v="10"/>
    <x v="10"/>
  </r>
  <r>
    <n v="2151"/>
    <s v="US-2017-139969"/>
    <x v="430"/>
    <d v="2017-11-26T00:00:00"/>
    <x v="1"/>
    <s v="AF-10870"/>
    <s v="Art Ferguson"/>
    <x v="2"/>
    <x v="0"/>
    <s v="College Station"/>
    <x v="11"/>
    <n v="77840"/>
    <x v="3"/>
    <s v="FUR-CH-10001973"/>
    <x v="2"/>
    <x v="13"/>
    <x v="522"/>
    <n v="233.05799999999999"/>
    <x v="2"/>
    <x v="8"/>
    <n v="-53.270400000000002"/>
    <x v="5"/>
    <x v="10"/>
    <x v="10"/>
  </r>
  <r>
    <n v="1487"/>
    <s v="CA-2015-140410"/>
    <x v="471"/>
    <d v="2015-11-07T00:00:00"/>
    <x v="1"/>
    <s v="CM-12655"/>
    <s v="Corinna Mitchell"/>
    <x v="1"/>
    <x v="0"/>
    <s v="Los Angeles"/>
    <x v="7"/>
    <n v="90008"/>
    <x v="1"/>
    <s v="TEC-PH-10003580"/>
    <x v="1"/>
    <x v="7"/>
    <x v="523"/>
    <n v="1212.848"/>
    <x v="4"/>
    <x v="1"/>
    <n v="106.1242"/>
    <x v="2"/>
    <x v="10"/>
    <x v="10"/>
  </r>
  <r>
    <n v="2152"/>
    <s v="CA-2014-167360"/>
    <x v="472"/>
    <d v="2014-11-29T00:00:00"/>
    <x v="0"/>
    <s v="RB-19435"/>
    <s v="Richard Bierner"/>
    <x v="2"/>
    <x v="0"/>
    <s v="Saint Louis"/>
    <x v="23"/>
    <n v="63116"/>
    <x v="3"/>
    <s v="TEC-AC-10001772"/>
    <x v="1"/>
    <x v="4"/>
    <x v="524"/>
    <n v="111.79"/>
    <x v="4"/>
    <x v="0"/>
    <n v="43.598100000000002"/>
    <x v="1"/>
    <x v="10"/>
    <x v="10"/>
  </r>
  <r>
    <n v="1486"/>
    <s v="CA-2014-119032"/>
    <x v="473"/>
    <d v="2014-12-03T00:00:00"/>
    <x v="1"/>
    <s v="MS-17770"/>
    <s v="Maxwell Schwartz"/>
    <x v="2"/>
    <x v="0"/>
    <s v="New York City"/>
    <x v="20"/>
    <n v="10035"/>
    <x v="2"/>
    <s v="OFF-FA-10003021"/>
    <x v="0"/>
    <x v="12"/>
    <x v="35"/>
    <n v="3.76"/>
    <x v="0"/>
    <x v="0"/>
    <n v="1.3160000000000001"/>
    <x v="4"/>
    <x v="10"/>
    <x v="10"/>
  </r>
  <r>
    <n v="1074"/>
    <s v="CA-2016-134348"/>
    <x v="474"/>
    <d v="2016-11-19T00:00:00"/>
    <x v="1"/>
    <s v="MS-17710"/>
    <s v="Maurice Satty"/>
    <x v="2"/>
    <x v="0"/>
    <s v="Mesa"/>
    <x v="19"/>
    <n v="85204"/>
    <x v="1"/>
    <s v="OFF-BI-10003727"/>
    <x v="0"/>
    <x v="10"/>
    <x v="525"/>
    <n v="6.27"/>
    <x v="3"/>
    <x v="7"/>
    <n v="-4.5979999999999999"/>
    <x v="5"/>
    <x v="10"/>
    <x v="10"/>
  </r>
  <r>
    <n v="1011"/>
    <s v="CA-2014-158540"/>
    <x v="472"/>
    <d v="2014-11-26T00:00:00"/>
    <x v="2"/>
    <s v="VG-21790"/>
    <s v="Vivek Gonzalez"/>
    <x v="2"/>
    <x v="0"/>
    <s v="San Diego"/>
    <x v="7"/>
    <n v="92037"/>
    <x v="1"/>
    <s v="FUR-FU-10001602"/>
    <x v="2"/>
    <x v="5"/>
    <x v="526"/>
    <n v="151.72"/>
    <x v="6"/>
    <x v="0"/>
    <n v="27.3096"/>
    <x v="0"/>
    <x v="10"/>
    <x v="10"/>
  </r>
  <r>
    <n v="183"/>
    <s v="CA-2014-158274"/>
    <x v="463"/>
    <d v="2014-11-24T00:00:00"/>
    <x v="0"/>
    <s v="RM-19675"/>
    <s v="Robert Marley"/>
    <x v="1"/>
    <x v="0"/>
    <s v="Monroe"/>
    <x v="0"/>
    <n v="71203"/>
    <x v="0"/>
    <s v="TEC-PH-10003273"/>
    <x v="1"/>
    <x v="7"/>
    <x v="527"/>
    <n v="503.96"/>
    <x v="6"/>
    <x v="0"/>
    <n v="131.02959999999999"/>
    <x v="1"/>
    <x v="10"/>
    <x v="10"/>
  </r>
  <r>
    <n v="186"/>
    <s v="CA-2016-105018"/>
    <x v="475"/>
    <d v="2016-12-02T00:00:00"/>
    <x v="1"/>
    <s v="SK-19990"/>
    <s v="Sally Knutson"/>
    <x v="2"/>
    <x v="0"/>
    <s v="Fairfield"/>
    <x v="25"/>
    <n v="6824"/>
    <x v="2"/>
    <s v="OFF-BI-10001890"/>
    <x v="0"/>
    <x v="10"/>
    <x v="528"/>
    <n v="7.16"/>
    <x v="0"/>
    <x v="0"/>
    <n v="3.4367999999999999"/>
    <x v="2"/>
    <x v="10"/>
    <x v="10"/>
  </r>
  <r>
    <n v="1643"/>
    <s v="US-2014-134712"/>
    <x v="470"/>
    <d v="2014-12-04T00:00:00"/>
    <x v="1"/>
    <s v="BS-11380"/>
    <s v="Bill Stewart"/>
    <x v="0"/>
    <x v="0"/>
    <s v="Skokie"/>
    <x v="5"/>
    <n v="60076"/>
    <x v="3"/>
    <s v="OFF-FA-10003112"/>
    <x v="0"/>
    <x v="12"/>
    <x v="35"/>
    <n v="12.624000000000001"/>
    <x v="0"/>
    <x v="1"/>
    <n v="3.9449999999999998"/>
    <x v="1"/>
    <x v="10"/>
    <x v="10"/>
  </r>
  <r>
    <n v="1664"/>
    <s v="CA-2016-128531"/>
    <x v="466"/>
    <d v="2016-11-26T00:00:00"/>
    <x v="0"/>
    <s v="NS-18505"/>
    <s v="Neola Schneider"/>
    <x v="2"/>
    <x v="0"/>
    <s v="Dallas"/>
    <x v="11"/>
    <n v="75217"/>
    <x v="3"/>
    <s v="OFF-ST-10001325"/>
    <x v="0"/>
    <x v="2"/>
    <x v="291"/>
    <n v="41.92"/>
    <x v="3"/>
    <x v="1"/>
    <n v="3.6680000000000001"/>
    <x v="0"/>
    <x v="10"/>
    <x v="10"/>
  </r>
  <r>
    <n v="1636"/>
    <s v="CA-2014-168984"/>
    <x v="476"/>
    <d v="2014-12-02T00:00:00"/>
    <x v="1"/>
    <s v="NW-18400"/>
    <s v="Natalie Webber"/>
    <x v="2"/>
    <x v="0"/>
    <s v="Tigard"/>
    <x v="26"/>
    <n v="97224"/>
    <x v="1"/>
    <s v="OFF-PA-10001166"/>
    <x v="0"/>
    <x v="9"/>
    <x v="17"/>
    <n v="15.552"/>
    <x v="2"/>
    <x v="1"/>
    <n v="5.4432"/>
    <x v="4"/>
    <x v="10"/>
    <x v="10"/>
  </r>
  <r>
    <n v="318"/>
    <s v="CA-2014-164973"/>
    <x v="425"/>
    <d v="2014-11-09T00:00:00"/>
    <x v="1"/>
    <s v="NM-18445"/>
    <s v="Nathan Mautz"/>
    <x v="1"/>
    <x v="0"/>
    <s v="New York City"/>
    <x v="20"/>
    <n v="10024"/>
    <x v="2"/>
    <s v="FUR-CH-10002602"/>
    <x v="2"/>
    <x v="13"/>
    <x v="529"/>
    <n v="135.88200000000001"/>
    <x v="1"/>
    <x v="9"/>
    <n v="24.1568"/>
    <x v="1"/>
    <x v="10"/>
    <x v="10"/>
  </r>
  <r>
    <n v="326"/>
    <s v="CA-2017-153339"/>
    <x v="455"/>
    <d v="2017-11-05T00:00:00"/>
    <x v="0"/>
    <s v="DJ-13510"/>
    <s v="Don Jones"/>
    <x v="0"/>
    <x v="0"/>
    <s v="Murfreesboro"/>
    <x v="17"/>
    <n v="37130"/>
    <x v="0"/>
    <s v="FUR-FU-10001967"/>
    <x v="2"/>
    <x v="5"/>
    <x v="530"/>
    <n v="15.992000000000001"/>
    <x v="1"/>
    <x v="1"/>
    <n v="0.99950000000000006"/>
    <x v="0"/>
    <x v="10"/>
    <x v="10"/>
  </r>
  <r>
    <n v="1185"/>
    <s v="CA-2014-127131"/>
    <x v="472"/>
    <d v="2014-11-30T00:00:00"/>
    <x v="1"/>
    <s v="HR-14830"/>
    <s v="Harold Ryan"/>
    <x v="0"/>
    <x v="0"/>
    <s v="Seattle"/>
    <x v="2"/>
    <n v="98103"/>
    <x v="1"/>
    <s v="OFF-BI-10004656"/>
    <x v="0"/>
    <x v="10"/>
    <x v="531"/>
    <n v="12.096"/>
    <x v="4"/>
    <x v="1"/>
    <n v="4.2336"/>
    <x v="4"/>
    <x v="10"/>
    <x v="10"/>
  </r>
  <r>
    <n v="237"/>
    <s v="CA-2017-160514"/>
    <x v="454"/>
    <d v="2017-11-16T00:00:00"/>
    <x v="1"/>
    <s v="DB-13120"/>
    <s v="David Bremer"/>
    <x v="0"/>
    <x v="0"/>
    <s v="Santa Clara"/>
    <x v="7"/>
    <n v="95051"/>
    <x v="1"/>
    <s v="OFF-PA-10002479"/>
    <x v="0"/>
    <x v="9"/>
    <x v="532"/>
    <n v="10.56"/>
    <x v="0"/>
    <x v="0"/>
    <n v="4.7519999999999998"/>
    <x v="2"/>
    <x v="10"/>
    <x v="10"/>
  </r>
  <r>
    <n v="198"/>
    <s v="CA-2017-107720"/>
    <x v="446"/>
    <d v="2017-11-13T00:00:00"/>
    <x v="1"/>
    <s v="VM-21685"/>
    <s v="Valerie Mitchum"/>
    <x v="1"/>
    <x v="0"/>
    <s v="Westfield"/>
    <x v="18"/>
    <n v="7090"/>
    <x v="2"/>
    <s v="OFF-ST-10001414"/>
    <x v="0"/>
    <x v="2"/>
    <x v="533"/>
    <n v="46.26"/>
    <x v="2"/>
    <x v="0"/>
    <n v="12.0276"/>
    <x v="5"/>
    <x v="10"/>
    <x v="10"/>
  </r>
  <r>
    <n v="266"/>
    <s v="CA-2015-155040"/>
    <x v="477"/>
    <d v="2015-11-15T00:00:00"/>
    <x v="1"/>
    <s v="AH-10210"/>
    <s v="Alan Hwang"/>
    <x v="2"/>
    <x v="0"/>
    <s v="Brentwood"/>
    <x v="7"/>
    <n v="94513"/>
    <x v="1"/>
    <s v="TEC-AC-10004469"/>
    <x v="1"/>
    <x v="4"/>
    <x v="534"/>
    <n v="79.900000000000006"/>
    <x v="0"/>
    <x v="0"/>
    <n v="35.155999999999999"/>
    <x v="1"/>
    <x v="10"/>
    <x v="10"/>
  </r>
  <r>
    <n v="1288"/>
    <s v="CA-2016-154711"/>
    <x v="478"/>
    <d v="2016-11-26T00:00:00"/>
    <x v="1"/>
    <s v="TB-21355"/>
    <s v="Todd Boyes"/>
    <x v="0"/>
    <x v="0"/>
    <s v="New York City"/>
    <x v="20"/>
    <n v="10009"/>
    <x v="2"/>
    <s v="FUR-FU-10000397"/>
    <x v="2"/>
    <x v="5"/>
    <x v="535"/>
    <n v="39.880000000000003"/>
    <x v="0"/>
    <x v="0"/>
    <n v="11.166399999999999"/>
    <x v="2"/>
    <x v="10"/>
    <x v="10"/>
  </r>
  <r>
    <n v="1813"/>
    <s v="US-2017-161193"/>
    <x v="452"/>
    <d v="2017-11-26T00:00:00"/>
    <x v="1"/>
    <s v="BT-11680"/>
    <s v="Brian Thompson"/>
    <x v="2"/>
    <x v="0"/>
    <s v="Newark"/>
    <x v="3"/>
    <n v="43055"/>
    <x v="2"/>
    <s v="FUR-FU-10001861"/>
    <x v="2"/>
    <x v="5"/>
    <x v="536"/>
    <n v="77.599999999999994"/>
    <x v="3"/>
    <x v="1"/>
    <n v="28.13"/>
    <x v="4"/>
    <x v="10"/>
    <x v="10"/>
  </r>
  <r>
    <n v="1137"/>
    <s v="CA-2016-152170"/>
    <x v="474"/>
    <d v="2016-11-15T00:00:00"/>
    <x v="0"/>
    <s v="FH-14275"/>
    <s v="Frank Hawley"/>
    <x v="0"/>
    <x v="0"/>
    <s v="La Porte"/>
    <x v="29"/>
    <n v="46350"/>
    <x v="3"/>
    <s v="OFF-EN-10002831"/>
    <x v="0"/>
    <x v="0"/>
    <x v="537"/>
    <n v="287.52"/>
    <x v="5"/>
    <x v="0"/>
    <n v="129.38399999999999"/>
    <x v="3"/>
    <x v="10"/>
    <x v="10"/>
  </r>
  <r>
    <n v="1081"/>
    <s v="CA-2015-110016"/>
    <x v="424"/>
    <d v="2015-12-04T00:00:00"/>
    <x v="1"/>
    <s v="BT-11395"/>
    <s v="Bill Tyler"/>
    <x v="0"/>
    <x v="0"/>
    <s v="Detroit"/>
    <x v="13"/>
    <n v="48227"/>
    <x v="3"/>
    <s v="OFF-PA-10000349"/>
    <x v="0"/>
    <x v="9"/>
    <x v="235"/>
    <n v="19.920000000000002"/>
    <x v="6"/>
    <x v="0"/>
    <n v="9.3623999999999992"/>
    <x v="1"/>
    <x v="10"/>
    <x v="10"/>
  </r>
  <r>
    <n v="1567"/>
    <s v="CA-2015-129112"/>
    <x v="424"/>
    <d v="2015-11-30T00:00:00"/>
    <x v="2"/>
    <s v="AW-10840"/>
    <s v="Anthony Witt"/>
    <x v="2"/>
    <x v="0"/>
    <s v="Allen"/>
    <x v="11"/>
    <n v="75002"/>
    <x v="3"/>
    <s v="TEC-AC-10003038"/>
    <x v="1"/>
    <x v="4"/>
    <x v="538"/>
    <n v="21.48"/>
    <x v="2"/>
    <x v="1"/>
    <n v="-0.26850000000000002"/>
    <x v="7"/>
    <x v="10"/>
    <x v="10"/>
  </r>
  <r>
    <n v="1874"/>
    <s v="CA-2017-142888"/>
    <x v="479"/>
    <d v="2017-11-25T00:00:00"/>
    <x v="1"/>
    <s v="BP-11230"/>
    <s v="Benjamin Patterson"/>
    <x v="2"/>
    <x v="0"/>
    <s v="Spokane"/>
    <x v="2"/>
    <n v="99207"/>
    <x v="1"/>
    <s v="FUR-TA-10004767"/>
    <x v="2"/>
    <x v="6"/>
    <x v="539"/>
    <n v="70.98"/>
    <x v="1"/>
    <x v="0"/>
    <n v="20.584199999999999"/>
    <x v="2"/>
    <x v="10"/>
    <x v="10"/>
  </r>
  <r>
    <n v="1564"/>
    <s v="CA-2015-158554"/>
    <x v="480"/>
    <d v="2015-11-09T00:00:00"/>
    <x v="3"/>
    <s v="CM-12190"/>
    <s v="Charlotte Melton"/>
    <x v="2"/>
    <x v="0"/>
    <s v="Philadelphia"/>
    <x v="31"/>
    <n v="19134"/>
    <x v="2"/>
    <s v="OFF-PA-10004000"/>
    <x v="0"/>
    <x v="9"/>
    <x v="540"/>
    <n v="11.352"/>
    <x v="2"/>
    <x v="1"/>
    <n v="4.1151"/>
    <x v="6"/>
    <x v="10"/>
    <x v="10"/>
  </r>
  <r>
    <n v="1007"/>
    <s v="CA-2015-105312"/>
    <x v="481"/>
    <d v="2015-11-09T00:00:00"/>
    <x v="2"/>
    <s v="MT-17815"/>
    <s v="Meg Tillman"/>
    <x v="2"/>
    <x v="0"/>
    <s v="Scottsdale"/>
    <x v="19"/>
    <n v="85254"/>
    <x v="1"/>
    <s v="OFF-EN-10002600"/>
    <x v="0"/>
    <x v="0"/>
    <x v="541"/>
    <n v="7.08"/>
    <x v="2"/>
    <x v="1"/>
    <n v="2.4780000000000002"/>
    <x v="3"/>
    <x v="10"/>
    <x v="10"/>
  </r>
  <r>
    <n v="1039"/>
    <s v="CA-2017-121818"/>
    <x v="452"/>
    <d v="2017-11-21T00:00:00"/>
    <x v="2"/>
    <s v="JH-15430"/>
    <s v="Jennifer Halladay"/>
    <x v="2"/>
    <x v="0"/>
    <s v="Burlington"/>
    <x v="8"/>
    <n v="27217"/>
    <x v="0"/>
    <s v="OFF-AR-10000203"/>
    <x v="0"/>
    <x v="3"/>
    <x v="321"/>
    <n v="23.968"/>
    <x v="4"/>
    <x v="1"/>
    <n v="2.6964000000000001"/>
    <x v="7"/>
    <x v="10"/>
    <x v="10"/>
  </r>
  <r>
    <n v="1478"/>
    <s v="CA-2016-121958"/>
    <x v="437"/>
    <d v="2016-11-17T00:00:00"/>
    <x v="1"/>
    <s v="CS-12505"/>
    <s v="Cindy Stewart"/>
    <x v="2"/>
    <x v="0"/>
    <s v="Thomasville"/>
    <x v="8"/>
    <n v="27360"/>
    <x v="0"/>
    <s v="OFF-SU-10000381"/>
    <x v="0"/>
    <x v="16"/>
    <x v="542"/>
    <n v="52.136000000000003"/>
    <x v="4"/>
    <x v="1"/>
    <n v="5.8653000000000004"/>
    <x v="2"/>
    <x v="10"/>
    <x v="10"/>
  </r>
  <r>
    <n v="1401"/>
    <s v="CA-2016-159212"/>
    <x v="438"/>
    <d v="2016-11-05T00:00:00"/>
    <x v="1"/>
    <s v="KM-16375"/>
    <s v="Katherine Murray"/>
    <x v="1"/>
    <x v="0"/>
    <s v="Salem"/>
    <x v="1"/>
    <n v="24153"/>
    <x v="0"/>
    <s v="TEC-PH-10003988"/>
    <x v="1"/>
    <x v="7"/>
    <x v="543"/>
    <n v="21.8"/>
    <x v="0"/>
    <x v="0"/>
    <n v="6.1040000000000001"/>
    <x v="2"/>
    <x v="10"/>
    <x v="10"/>
  </r>
  <r>
    <n v="2438"/>
    <s v="CA-2014-164210"/>
    <x v="482"/>
    <d v="2014-11-20T00:00:00"/>
    <x v="0"/>
    <s v="PW-19240"/>
    <s v="Pierre Wener"/>
    <x v="2"/>
    <x v="0"/>
    <s v="Louisville"/>
    <x v="9"/>
    <n v="80027"/>
    <x v="1"/>
    <s v="FUR-TA-10000849"/>
    <x v="2"/>
    <x v="6"/>
    <x v="544"/>
    <n v="145.97999999999999"/>
    <x v="0"/>
    <x v="3"/>
    <n v="-99.266400000000004"/>
    <x v="0"/>
    <x v="10"/>
    <x v="10"/>
  </r>
  <r>
    <n v="389"/>
    <s v="CA-2014-115973"/>
    <x v="472"/>
    <d v="2014-11-26T00:00:00"/>
    <x v="2"/>
    <s v="NG-18430"/>
    <s v="Nathan Gelder"/>
    <x v="2"/>
    <x v="0"/>
    <s v="Cincinnati"/>
    <x v="3"/>
    <n v="45231"/>
    <x v="2"/>
    <s v="OFF-AR-10004757"/>
    <x v="0"/>
    <x v="3"/>
    <x v="545"/>
    <n v="2.6240000000000001"/>
    <x v="1"/>
    <x v="1"/>
    <n v="0.4264"/>
    <x v="0"/>
    <x v="10"/>
    <x v="10"/>
  </r>
  <r>
    <n v="1364"/>
    <s v="US-2017-155425"/>
    <x v="483"/>
    <d v="2017-11-11T00:00:00"/>
    <x v="2"/>
    <s v="AB-10600"/>
    <s v="Ann Blume"/>
    <x v="0"/>
    <x v="0"/>
    <s v="Tucson"/>
    <x v="19"/>
    <n v="85705"/>
    <x v="1"/>
    <s v="OFF-BI-10001036"/>
    <x v="0"/>
    <x v="10"/>
    <x v="25"/>
    <n v="38.387999999999998"/>
    <x v="10"/>
    <x v="7"/>
    <n v="-25.591999999999999"/>
    <x v="7"/>
    <x v="10"/>
    <x v="10"/>
  </r>
  <r>
    <n v="1452"/>
    <s v="CA-2016-133711"/>
    <x v="467"/>
    <d v="2016-11-29T00:00:00"/>
    <x v="2"/>
    <s v="MC-17425"/>
    <s v="Mark Cousins"/>
    <x v="0"/>
    <x v="0"/>
    <s v="Mobile"/>
    <x v="6"/>
    <n v="36608"/>
    <x v="0"/>
    <s v="OFF-PA-10001685"/>
    <x v="0"/>
    <x v="9"/>
    <x v="235"/>
    <n v="70.98"/>
    <x v="4"/>
    <x v="0"/>
    <n v="34.780200000000001"/>
    <x v="3"/>
    <x v="10"/>
    <x v="10"/>
  </r>
  <r>
    <n v="159"/>
    <s v="CA-2016-114104"/>
    <x v="439"/>
    <d v="2016-11-24T00:00:00"/>
    <x v="1"/>
    <s v="NP-18670"/>
    <s v="Nora Paige"/>
    <x v="2"/>
    <x v="0"/>
    <s v="Edmond"/>
    <x v="15"/>
    <n v="73034"/>
    <x v="3"/>
    <s v="OFF-LA-10002475"/>
    <x v="0"/>
    <x v="1"/>
    <x v="546"/>
    <n v="14.62"/>
    <x v="0"/>
    <x v="0"/>
    <n v="6.8714000000000004"/>
    <x v="2"/>
    <x v="10"/>
    <x v="10"/>
  </r>
  <r>
    <n v="283"/>
    <s v="CA-2015-130890"/>
    <x v="484"/>
    <d v="2015-11-06T00:00:00"/>
    <x v="1"/>
    <s v="JO-15280"/>
    <s v="Jas O'Carroll"/>
    <x v="2"/>
    <x v="0"/>
    <s v="Los Angeles"/>
    <x v="7"/>
    <n v="90004"/>
    <x v="1"/>
    <s v="FUR-TA-10002903"/>
    <x v="2"/>
    <x v="6"/>
    <x v="547"/>
    <n v="1038.8399999999999"/>
    <x v="3"/>
    <x v="1"/>
    <n v="51.942"/>
    <x v="2"/>
    <x v="10"/>
    <x v="10"/>
  </r>
  <r>
    <n v="385"/>
    <s v="US-2015-168935"/>
    <x v="453"/>
    <d v="2015-12-02T00:00:00"/>
    <x v="1"/>
    <s v="DO-13435"/>
    <s v="Denny Ordway"/>
    <x v="2"/>
    <x v="0"/>
    <s v="Pembroke Pines"/>
    <x v="22"/>
    <n v="33024"/>
    <x v="0"/>
    <s v="FUR-TA-10000617"/>
    <x v="2"/>
    <x v="6"/>
    <x v="548"/>
    <n v="375.45749999999998"/>
    <x v="2"/>
    <x v="10"/>
    <n v="-157.0095"/>
    <x v="1"/>
    <x v="10"/>
    <x v="10"/>
  </r>
  <r>
    <n v="2308"/>
    <s v="CA-2017-116225"/>
    <x v="419"/>
    <d v="2017-11-09T00:00:00"/>
    <x v="1"/>
    <s v="SV-20935"/>
    <s v="Susan Vittorini"/>
    <x v="2"/>
    <x v="0"/>
    <s v="New York City"/>
    <x v="20"/>
    <n v="10009"/>
    <x v="2"/>
    <s v="TEC-AC-10001432"/>
    <x v="1"/>
    <x v="4"/>
    <x v="45"/>
    <n v="390.75"/>
    <x v="3"/>
    <x v="0"/>
    <n v="171.93"/>
    <x v="2"/>
    <x v="10"/>
    <x v="10"/>
  </r>
  <r>
    <n v="2210"/>
    <s v="CA-2014-125556"/>
    <x v="423"/>
    <d v="2014-11-16T00:00:00"/>
    <x v="0"/>
    <s v="ML-17410"/>
    <s v="Maris LaWare"/>
    <x v="2"/>
    <x v="0"/>
    <s v="Fairfield"/>
    <x v="25"/>
    <n v="6824"/>
    <x v="2"/>
    <s v="TEC-PH-10001079"/>
    <x v="1"/>
    <x v="7"/>
    <x v="549"/>
    <n v="832.93"/>
    <x v="4"/>
    <x v="0"/>
    <n v="233.22040000000001"/>
    <x v="0"/>
    <x v="10"/>
    <x v="10"/>
  </r>
  <r>
    <n v="290"/>
    <s v="CA-2016-110772"/>
    <x v="439"/>
    <d v="2016-11-24T00:00:00"/>
    <x v="0"/>
    <s v="NZ-18565"/>
    <s v="Nick Zandusky"/>
    <x v="1"/>
    <x v="0"/>
    <s v="Columbus"/>
    <x v="3"/>
    <n v="43229"/>
    <x v="2"/>
    <s v="OFF-FA-10002983"/>
    <x v="0"/>
    <x v="12"/>
    <x v="550"/>
    <n v="19.096"/>
    <x v="4"/>
    <x v="1"/>
    <n v="6.6836000000000002"/>
    <x v="2"/>
    <x v="10"/>
    <x v="10"/>
  </r>
  <r>
    <n v="163"/>
    <s v="CA-2016-154508"/>
    <x v="450"/>
    <d v="2016-11-20T00:00:00"/>
    <x v="1"/>
    <s v="RD-19900"/>
    <s v="Ruben Dartt"/>
    <x v="2"/>
    <x v="0"/>
    <s v="Carlsbad"/>
    <x v="30"/>
    <n v="88220"/>
    <x v="1"/>
    <s v="OFF-EN-10001990"/>
    <x v="0"/>
    <x v="0"/>
    <x v="0"/>
    <n v="28.4"/>
    <x v="3"/>
    <x v="0"/>
    <n v="13.348000000000001"/>
    <x v="2"/>
    <x v="10"/>
    <x v="10"/>
  </r>
  <r>
    <n v="2260"/>
    <s v="CA-2015-117611"/>
    <x v="485"/>
    <d v="2015-11-10T00:00:00"/>
    <x v="0"/>
    <s v="MZ-17335"/>
    <s v="Maria Zettner"/>
    <x v="1"/>
    <x v="0"/>
    <s v="San Diego"/>
    <x v="7"/>
    <n v="92024"/>
    <x v="1"/>
    <s v="OFF-FA-10002280"/>
    <x v="0"/>
    <x v="12"/>
    <x v="551"/>
    <n v="5"/>
    <x v="1"/>
    <x v="0"/>
    <n v="2.4"/>
    <x v="0"/>
    <x v="10"/>
    <x v="10"/>
  </r>
  <r>
    <n v="956"/>
    <s v="CA-2017-119305"/>
    <x v="486"/>
    <d v="2017-12-04T00:00:00"/>
    <x v="1"/>
    <s v="SW-20275"/>
    <s v="Scott Williamson"/>
    <x v="2"/>
    <x v="0"/>
    <s v="Jackson"/>
    <x v="34"/>
    <n v="39212"/>
    <x v="0"/>
    <s v="OFF-ST-10000604"/>
    <x v="0"/>
    <x v="2"/>
    <x v="180"/>
    <n v="173.8"/>
    <x v="3"/>
    <x v="0"/>
    <n v="43.45"/>
    <x v="2"/>
    <x v="10"/>
    <x v="10"/>
  </r>
  <r>
    <n v="2243"/>
    <s v="CA-2017-103380"/>
    <x v="479"/>
    <d v="2017-11-25T00:00:00"/>
    <x v="1"/>
    <s v="BF-11005"/>
    <s v="Barry Franz"/>
    <x v="1"/>
    <x v="0"/>
    <s v="Pasadena"/>
    <x v="7"/>
    <n v="91104"/>
    <x v="1"/>
    <s v="OFF-ST-10003442"/>
    <x v="0"/>
    <x v="2"/>
    <x v="140"/>
    <n v="56.56"/>
    <x v="0"/>
    <x v="0"/>
    <n v="15.2712"/>
    <x v="2"/>
    <x v="10"/>
    <x v="10"/>
  </r>
  <r>
    <n v="164"/>
    <s v="CA-2016-113817"/>
    <x v="448"/>
    <d v="2016-11-11T00:00:00"/>
    <x v="1"/>
    <s v="MJ-17740"/>
    <s v="Max Jones"/>
    <x v="2"/>
    <x v="0"/>
    <s v="Seattle"/>
    <x v="2"/>
    <n v="98115"/>
    <x v="1"/>
    <s v="OFF-BI-10004002"/>
    <x v="0"/>
    <x v="10"/>
    <x v="552"/>
    <n v="27.68"/>
    <x v="0"/>
    <x v="1"/>
    <n v="9.6880000000000006"/>
    <x v="2"/>
    <x v="10"/>
    <x v="10"/>
  </r>
  <r>
    <n v="982"/>
    <s v="CA-2014-163419"/>
    <x v="462"/>
    <d v="2014-11-14T00:00:00"/>
    <x v="0"/>
    <s v="TZ-21580"/>
    <s v="Tracy Zic"/>
    <x v="2"/>
    <x v="0"/>
    <s v="Louisville"/>
    <x v="9"/>
    <n v="80027"/>
    <x v="1"/>
    <s v="OFF-AR-10000034"/>
    <x v="0"/>
    <x v="3"/>
    <x v="553"/>
    <n v="3.3919999999999999"/>
    <x v="1"/>
    <x v="1"/>
    <n v="0.80559999999999998"/>
    <x v="3"/>
    <x v="10"/>
    <x v="10"/>
  </r>
  <r>
    <n v="1475"/>
    <s v="CA-2016-113138"/>
    <x v="420"/>
    <d v="2016-11-25T00:00:00"/>
    <x v="1"/>
    <s v="NP-18685"/>
    <s v="Nora Pelletier"/>
    <x v="1"/>
    <x v="0"/>
    <s v="Niagara Falls"/>
    <x v="20"/>
    <n v="14304"/>
    <x v="2"/>
    <s v="OFF-AR-10003770"/>
    <x v="0"/>
    <x v="3"/>
    <x v="554"/>
    <n v="17.28"/>
    <x v="7"/>
    <x v="0"/>
    <n v="5.0111999999999997"/>
    <x v="4"/>
    <x v="10"/>
    <x v="10"/>
  </r>
  <r>
    <n v="2240"/>
    <s v="CA-2016-146633"/>
    <x v="487"/>
    <d v="2016-11-17T00:00:00"/>
    <x v="0"/>
    <s v="TG-21310"/>
    <s v="Toby Gnade"/>
    <x v="2"/>
    <x v="0"/>
    <s v="Los Angeles"/>
    <x v="7"/>
    <n v="90049"/>
    <x v="1"/>
    <s v="OFF-BI-10003527"/>
    <x v="0"/>
    <x v="10"/>
    <x v="555"/>
    <n v="1016.792"/>
    <x v="1"/>
    <x v="1"/>
    <n v="381.29700000000003"/>
    <x v="0"/>
    <x v="10"/>
    <x v="10"/>
  </r>
  <r>
    <n v="961"/>
    <s v="CA-2017-152142"/>
    <x v="431"/>
    <d v="2017-11-19T00:00:00"/>
    <x v="1"/>
    <s v="LW-16990"/>
    <s v="Lindsay Williams"/>
    <x v="0"/>
    <x v="0"/>
    <s v="San Francisco"/>
    <x v="7"/>
    <n v="94110"/>
    <x v="1"/>
    <s v="FUR-CH-10002965"/>
    <x v="2"/>
    <x v="13"/>
    <x v="556"/>
    <n v="321.56799999999998"/>
    <x v="0"/>
    <x v="1"/>
    <n v="28.1372"/>
    <x v="1"/>
    <x v="10"/>
    <x v="10"/>
  </r>
  <r>
    <n v="962"/>
    <s v="CA-2015-160059"/>
    <x v="453"/>
    <d v="2015-12-01T00:00:00"/>
    <x v="1"/>
    <s v="TB-21190"/>
    <s v="Thomas Brumley"/>
    <x v="1"/>
    <x v="0"/>
    <s v="Fayetteville"/>
    <x v="39"/>
    <n v="72701"/>
    <x v="0"/>
    <s v="OFF-BI-10000145"/>
    <x v="0"/>
    <x v="10"/>
    <x v="265"/>
    <n v="6.24"/>
    <x v="0"/>
    <x v="0"/>
    <n v="3.0575999999999999"/>
    <x v="2"/>
    <x v="10"/>
    <x v="10"/>
  </r>
  <r>
    <n v="1442"/>
    <s v="CA-2017-128160"/>
    <x v="488"/>
    <d v="2017-12-24T00:00:00"/>
    <x v="0"/>
    <s v="MM-17920"/>
    <s v="Michael Moore"/>
    <x v="2"/>
    <x v="0"/>
    <s v="San Francisco"/>
    <x v="7"/>
    <n v="94110"/>
    <x v="1"/>
    <s v="OFF-BI-10001510"/>
    <x v="0"/>
    <x v="10"/>
    <x v="370"/>
    <n v="36.671999999999997"/>
    <x v="0"/>
    <x v="1"/>
    <n v="11.46"/>
    <x v="1"/>
    <x v="11"/>
    <x v="11"/>
  </r>
  <r>
    <n v="4353"/>
    <s v="CA-2017-107748"/>
    <x v="489"/>
    <d v="2017-12-12T00:00:00"/>
    <x v="0"/>
    <s v="AG-10330"/>
    <s v="Alex Grayson"/>
    <x v="2"/>
    <x v="0"/>
    <s v="Stockton"/>
    <x v="7"/>
    <n v="95207"/>
    <x v="1"/>
    <s v="TEC-PH-10003215"/>
    <x v="1"/>
    <x v="7"/>
    <x v="557"/>
    <n v="95.84"/>
    <x v="6"/>
    <x v="1"/>
    <n v="34.741999999999997"/>
    <x v="0"/>
    <x v="11"/>
    <x v="11"/>
  </r>
  <r>
    <n v="271"/>
    <s v="CA-2017-163979"/>
    <x v="490"/>
    <d v="2018-01-02T00:00:00"/>
    <x v="0"/>
    <s v="KH-16690"/>
    <s v="Kristen Hastings"/>
    <x v="0"/>
    <x v="0"/>
    <s v="San Francisco"/>
    <x v="7"/>
    <n v="94110"/>
    <x v="1"/>
    <s v="OFF-ST-10003208"/>
    <x v="0"/>
    <x v="2"/>
    <x v="558"/>
    <n v="725.84"/>
    <x v="6"/>
    <x v="0"/>
    <n v="210.49359999999999"/>
    <x v="1"/>
    <x v="11"/>
    <x v="11"/>
  </r>
  <r>
    <n v="269"/>
    <s v="US-2017-145366"/>
    <x v="491"/>
    <d v="2017-12-13T00:00:00"/>
    <x v="1"/>
    <s v="CA-12310"/>
    <s v="Christine Abelman"/>
    <x v="0"/>
    <x v="0"/>
    <s v="Cincinnati"/>
    <x v="3"/>
    <n v="45231"/>
    <x v="2"/>
    <s v="OFF-ST-10004180"/>
    <x v="0"/>
    <x v="2"/>
    <x v="559"/>
    <n v="37.207999999999998"/>
    <x v="1"/>
    <x v="1"/>
    <n v="-7.4416000000000002"/>
    <x v="2"/>
    <x v="11"/>
    <x v="11"/>
  </r>
  <r>
    <n v="4334"/>
    <s v="CA-2015-112375"/>
    <x v="492"/>
    <d v="2015-12-27T00:00:00"/>
    <x v="1"/>
    <s v="RD-19720"/>
    <s v="Roger Demir"/>
    <x v="2"/>
    <x v="0"/>
    <s v="Daytona Beach"/>
    <x v="22"/>
    <n v="32114"/>
    <x v="0"/>
    <s v="TEC-AC-10003237"/>
    <x v="1"/>
    <x v="4"/>
    <x v="560"/>
    <n v="50.88"/>
    <x v="7"/>
    <x v="1"/>
    <n v="14.628"/>
    <x v="4"/>
    <x v="11"/>
    <x v="11"/>
  </r>
  <r>
    <n v="543"/>
    <s v="US-2015-120161"/>
    <x v="493"/>
    <d v="2015-12-23T00:00:00"/>
    <x v="1"/>
    <s v="LM-17065"/>
    <s v="Liz MacKendrick"/>
    <x v="2"/>
    <x v="0"/>
    <s v="Springfield"/>
    <x v="3"/>
    <n v="45503"/>
    <x v="2"/>
    <s v="OFF-ST-10001809"/>
    <x v="0"/>
    <x v="2"/>
    <x v="61"/>
    <n v="646.77599999999995"/>
    <x v="8"/>
    <x v="1"/>
    <n v="-145.52459999999999"/>
    <x v="1"/>
    <x v="11"/>
    <x v="11"/>
  </r>
  <r>
    <n v="8667"/>
    <s v="CA-2016-163951"/>
    <x v="494"/>
    <d v="2017-01-02T00:00:00"/>
    <x v="2"/>
    <s v="CJ-11875"/>
    <s v="Carl Jackson"/>
    <x v="0"/>
    <x v="0"/>
    <s v="Philadelphia"/>
    <x v="31"/>
    <n v="19140"/>
    <x v="2"/>
    <s v="OFF-AR-10004269"/>
    <x v="0"/>
    <x v="3"/>
    <x v="561"/>
    <n v="16.52"/>
    <x v="3"/>
    <x v="1"/>
    <n v="1.6519999999999999"/>
    <x v="3"/>
    <x v="11"/>
    <x v="11"/>
  </r>
  <r>
    <n v="641"/>
    <s v="CA-2016-147067"/>
    <x v="495"/>
    <d v="2016-12-22T00:00:00"/>
    <x v="1"/>
    <s v="JD-16150"/>
    <s v="Justin Deggeller"/>
    <x v="0"/>
    <x v="0"/>
    <s v="Minneapolis"/>
    <x v="10"/>
    <n v="55407"/>
    <x v="3"/>
    <s v="FUR-FU-10000732"/>
    <x v="2"/>
    <x v="5"/>
    <x v="441"/>
    <n v="18.84"/>
    <x v="2"/>
    <x v="0"/>
    <n v="6.0288000000000004"/>
    <x v="2"/>
    <x v="11"/>
    <x v="11"/>
  </r>
  <r>
    <n v="649"/>
    <s v="CA-2016-160745"/>
    <x v="496"/>
    <d v="2016-12-16T00:00:00"/>
    <x v="0"/>
    <s v="AR-10825"/>
    <s v="Anthony Rawles"/>
    <x v="0"/>
    <x v="0"/>
    <s v="Vancouver"/>
    <x v="2"/>
    <n v="98661"/>
    <x v="1"/>
    <s v="FUR-FU-10001935"/>
    <x v="2"/>
    <x v="5"/>
    <x v="182"/>
    <n v="14.8"/>
    <x v="6"/>
    <x v="0"/>
    <n v="6.0679999999999996"/>
    <x v="1"/>
    <x v="11"/>
    <x v="11"/>
  </r>
  <r>
    <n v="4211"/>
    <s v="CA-2017-109715"/>
    <x v="491"/>
    <d v="2017-12-14T00:00:00"/>
    <x v="1"/>
    <s v="AH-10585"/>
    <s v="Angele Hood"/>
    <x v="2"/>
    <x v="0"/>
    <s v="Chicago"/>
    <x v="5"/>
    <n v="60623"/>
    <x v="3"/>
    <s v="OFF-PA-10004965"/>
    <x v="0"/>
    <x v="9"/>
    <x v="562"/>
    <n v="15.984"/>
    <x v="0"/>
    <x v="1"/>
    <n v="4.9950000000000001"/>
    <x v="1"/>
    <x v="11"/>
    <x v="11"/>
  </r>
  <r>
    <n v="539"/>
    <s v="CA-2015-134894"/>
    <x v="497"/>
    <d v="2015-12-11T00:00:00"/>
    <x v="1"/>
    <s v="DK-12985"/>
    <s v="Darren Koutras"/>
    <x v="2"/>
    <x v="0"/>
    <s v="Henderson"/>
    <x v="24"/>
    <n v="42420"/>
    <x v="0"/>
    <s v="OFF-AP-10001271"/>
    <x v="0"/>
    <x v="14"/>
    <x v="563"/>
    <n v="152.94"/>
    <x v="2"/>
    <x v="0"/>
    <n v="41.293799999999997"/>
    <x v="2"/>
    <x v="11"/>
    <x v="11"/>
  </r>
  <r>
    <n v="1625"/>
    <s v="CA-2015-157084"/>
    <x v="498"/>
    <d v="2015-12-24T00:00:00"/>
    <x v="1"/>
    <s v="JG-15160"/>
    <s v="James Galang"/>
    <x v="2"/>
    <x v="0"/>
    <s v="Los Angeles"/>
    <x v="7"/>
    <n v="90049"/>
    <x v="1"/>
    <s v="TEC-PH-10002922"/>
    <x v="1"/>
    <x v="7"/>
    <x v="345"/>
    <n v="675.96"/>
    <x v="3"/>
    <x v="1"/>
    <n v="84.495000000000005"/>
    <x v="1"/>
    <x v="11"/>
    <x v="11"/>
  </r>
  <r>
    <n v="9210"/>
    <s v="CA-2017-142776"/>
    <x v="499"/>
    <d v="2017-12-14T00:00:00"/>
    <x v="0"/>
    <s v="RS-19870"/>
    <s v="Roy Skaria"/>
    <x v="1"/>
    <x v="0"/>
    <s v="Burlington"/>
    <x v="12"/>
    <n v="52601"/>
    <x v="3"/>
    <s v="OFF-EN-10003160"/>
    <x v="0"/>
    <x v="0"/>
    <x v="564"/>
    <n v="7.28"/>
    <x v="1"/>
    <x v="0"/>
    <n v="3.4944000000000002"/>
    <x v="3"/>
    <x v="11"/>
    <x v="11"/>
  </r>
  <r>
    <n v="36"/>
    <s v="CA-2016-117590"/>
    <x v="500"/>
    <d v="2016-12-10T00:00:00"/>
    <x v="2"/>
    <s v="GH-14485"/>
    <s v="Gene Hale"/>
    <x v="0"/>
    <x v="0"/>
    <s v="Richardson"/>
    <x v="11"/>
    <n v="75080"/>
    <x v="3"/>
    <s v="TEC-PH-10004977"/>
    <x v="1"/>
    <x v="7"/>
    <x v="565"/>
    <n v="1097.5440000000001"/>
    <x v="4"/>
    <x v="1"/>
    <n v="123.47369999999999"/>
    <x v="0"/>
    <x v="11"/>
    <x v="11"/>
  </r>
  <r>
    <n v="38"/>
    <s v="CA-2015-117415"/>
    <x v="501"/>
    <d v="2015-12-31T00:00:00"/>
    <x v="1"/>
    <s v="SN-20710"/>
    <s v="Steve Nguyen"/>
    <x v="1"/>
    <x v="0"/>
    <s v="Houston"/>
    <x v="11"/>
    <n v="77041"/>
    <x v="3"/>
    <s v="OFF-EN-10002986"/>
    <x v="0"/>
    <x v="0"/>
    <x v="566"/>
    <n v="113.328"/>
    <x v="8"/>
    <x v="1"/>
    <n v="35.414999999999999"/>
    <x v="2"/>
    <x v="11"/>
    <x v="11"/>
  </r>
  <r>
    <n v="220"/>
    <s v="CA-2015-169397"/>
    <x v="502"/>
    <d v="2015-12-27T00:00:00"/>
    <x v="2"/>
    <s v="JB-15925"/>
    <s v="Joni Blumstein"/>
    <x v="2"/>
    <x v="0"/>
    <s v="Dublin"/>
    <x v="3"/>
    <n v="43017"/>
    <x v="2"/>
    <s v="OFF-FA-10000585"/>
    <x v="0"/>
    <x v="12"/>
    <x v="308"/>
    <n v="5.5839999999999996"/>
    <x v="0"/>
    <x v="1"/>
    <n v="1.8148"/>
    <x v="3"/>
    <x v="11"/>
    <x v="11"/>
  </r>
  <r>
    <n v="646"/>
    <s v="CA-2017-126221"/>
    <x v="503"/>
    <d v="2018-01-05T00:00:00"/>
    <x v="1"/>
    <s v="CC-12430"/>
    <s v="Chuck Clark"/>
    <x v="1"/>
    <x v="0"/>
    <s v="Columbus"/>
    <x v="29"/>
    <n v="47201"/>
    <x v="3"/>
    <s v="OFF-AP-10002457"/>
    <x v="0"/>
    <x v="14"/>
    <x v="567"/>
    <n v="209.3"/>
    <x v="0"/>
    <x v="0"/>
    <n v="56.511000000000003"/>
    <x v="4"/>
    <x v="11"/>
    <x v="11"/>
  </r>
  <r>
    <n v="571"/>
    <s v="CA-2017-164826"/>
    <x v="490"/>
    <d v="2018-01-04T00:00:00"/>
    <x v="1"/>
    <s v="JF-15415"/>
    <s v="Jennifer Ferguson"/>
    <x v="2"/>
    <x v="0"/>
    <s v="New York City"/>
    <x v="20"/>
    <n v="10024"/>
    <x v="2"/>
    <s v="OFF-LA-10001297"/>
    <x v="0"/>
    <x v="1"/>
    <x v="245"/>
    <n v="72.45"/>
    <x v="4"/>
    <x v="0"/>
    <n v="34.776000000000003"/>
    <x v="5"/>
    <x v="11"/>
    <x v="11"/>
  </r>
  <r>
    <n v="1575"/>
    <s v="CA-2014-101602"/>
    <x v="504"/>
    <d v="2014-12-18T00:00:00"/>
    <x v="2"/>
    <s v="MC-18100"/>
    <s v="Mick Crebagga"/>
    <x v="2"/>
    <x v="0"/>
    <s v="El Paso"/>
    <x v="11"/>
    <n v="79907"/>
    <x v="3"/>
    <s v="TEC-PH-10000169"/>
    <x v="1"/>
    <x v="7"/>
    <x v="568"/>
    <n v="40.68"/>
    <x v="2"/>
    <x v="1"/>
    <n v="-9.1530000000000005"/>
    <x v="3"/>
    <x v="11"/>
    <x v="11"/>
  </r>
  <r>
    <n v="631"/>
    <s v="US-2016-135720"/>
    <x v="496"/>
    <d v="2016-12-13T00:00:00"/>
    <x v="0"/>
    <s v="FM-14380"/>
    <s v="Fred McMath"/>
    <x v="2"/>
    <x v="0"/>
    <s v="Aurora"/>
    <x v="9"/>
    <n v="80013"/>
    <x v="1"/>
    <s v="OFF-ST-10001963"/>
    <x v="0"/>
    <x v="2"/>
    <x v="569"/>
    <n v="243.38399999999999"/>
    <x v="2"/>
    <x v="1"/>
    <n v="-51.719099999999997"/>
    <x v="0"/>
    <x v="11"/>
    <x v="11"/>
  </r>
  <r>
    <n v="6171"/>
    <s v="CA-2016-141523"/>
    <x v="505"/>
    <d v="2016-12-24T00:00:00"/>
    <x v="0"/>
    <s v="MH-17440"/>
    <s v="Mark Haberlin"/>
    <x v="0"/>
    <x v="0"/>
    <s v="New York City"/>
    <x v="20"/>
    <n v="10035"/>
    <x v="2"/>
    <s v="OFF-BI-10000948"/>
    <x v="0"/>
    <x v="10"/>
    <x v="292"/>
    <n v="34.247999999999998"/>
    <x v="2"/>
    <x v="1"/>
    <n v="11.5587"/>
    <x v="1"/>
    <x v="11"/>
    <x v="11"/>
  </r>
  <r>
    <n v="1522"/>
    <s v="CA-2015-144806"/>
    <x v="506"/>
    <d v="2015-12-11T00:00:00"/>
    <x v="1"/>
    <s v="GH-14425"/>
    <s v="Gary Hwang"/>
    <x v="2"/>
    <x v="0"/>
    <s v="Tucson"/>
    <x v="19"/>
    <n v="85705"/>
    <x v="1"/>
    <s v="FUR-FU-10002253"/>
    <x v="2"/>
    <x v="5"/>
    <x v="570"/>
    <n v="206.11199999999999"/>
    <x v="7"/>
    <x v="1"/>
    <n v="48.951599999999999"/>
    <x v="1"/>
    <x v="11"/>
    <x v="11"/>
  </r>
  <r>
    <n v="1465"/>
    <s v="US-2016-104794"/>
    <x v="507"/>
    <d v="2016-12-19T00:00:00"/>
    <x v="2"/>
    <s v="KD-16495"/>
    <s v="Keith Dawkins"/>
    <x v="0"/>
    <x v="0"/>
    <s v="New York City"/>
    <x v="20"/>
    <n v="10009"/>
    <x v="2"/>
    <s v="OFF-FA-10001754"/>
    <x v="0"/>
    <x v="12"/>
    <x v="516"/>
    <n v="3.68"/>
    <x v="0"/>
    <x v="0"/>
    <n v="1.8031999999999999"/>
    <x v="3"/>
    <x v="11"/>
    <x v="11"/>
  </r>
  <r>
    <n v="253"/>
    <s v="CA-2016-146941"/>
    <x v="508"/>
    <d v="2016-12-13T00:00:00"/>
    <x v="2"/>
    <s v="DL-13315"/>
    <s v="Delfina Latchford"/>
    <x v="2"/>
    <x v="0"/>
    <s v="New York City"/>
    <x v="20"/>
    <n v="10024"/>
    <x v="2"/>
    <s v="OFF-ST-10001228"/>
    <x v="0"/>
    <x v="2"/>
    <x v="571"/>
    <n v="80.58"/>
    <x v="7"/>
    <x v="0"/>
    <n v="22.5624"/>
    <x v="3"/>
    <x v="11"/>
    <x v="11"/>
  </r>
  <r>
    <n v="1315"/>
    <s v="CA-2016-145919"/>
    <x v="495"/>
    <d v="2016-12-23T00:00:00"/>
    <x v="1"/>
    <s v="HG-14965"/>
    <s v="Henry Goldwyn"/>
    <x v="0"/>
    <x v="0"/>
    <s v="Los Angeles"/>
    <x v="7"/>
    <n v="90032"/>
    <x v="1"/>
    <s v="OFF-PA-10003072"/>
    <x v="0"/>
    <x v="9"/>
    <x v="572"/>
    <n v="38.880000000000003"/>
    <x v="7"/>
    <x v="0"/>
    <n v="18.662400000000002"/>
    <x v="1"/>
    <x v="11"/>
    <x v="11"/>
  </r>
  <r>
    <n v="1299"/>
    <s v="CA-2016-134425"/>
    <x v="500"/>
    <d v="2016-12-12T00:00:00"/>
    <x v="0"/>
    <s v="QJ-19255"/>
    <s v="Quincy Jones"/>
    <x v="0"/>
    <x v="0"/>
    <s v="Saint Paul"/>
    <x v="10"/>
    <n v="55106"/>
    <x v="3"/>
    <s v="TEC-PH-10003555"/>
    <x v="1"/>
    <x v="7"/>
    <x v="573"/>
    <n v="114.95"/>
    <x v="3"/>
    <x v="0"/>
    <n v="2.2989999999999999"/>
    <x v="2"/>
    <x v="11"/>
    <x v="11"/>
  </r>
  <r>
    <n v="526"/>
    <s v="CA-2015-158792"/>
    <x v="509"/>
    <d v="2016-01-02T00:00:00"/>
    <x v="1"/>
    <s v="BD-11605"/>
    <s v="Brian Dahlen"/>
    <x v="2"/>
    <x v="0"/>
    <s v="Lawrence"/>
    <x v="37"/>
    <n v="1841"/>
    <x v="2"/>
    <s v="OFF-FA-10002815"/>
    <x v="0"/>
    <x v="12"/>
    <x v="35"/>
    <n v="22.2"/>
    <x v="3"/>
    <x v="0"/>
    <n v="10.433999999999999"/>
    <x v="5"/>
    <x v="11"/>
    <x v="11"/>
  </r>
  <r>
    <n v="566"/>
    <s v="CA-2017-137099"/>
    <x v="510"/>
    <d v="2017-12-10T00:00:00"/>
    <x v="2"/>
    <s v="FP-14320"/>
    <s v="Frank Preis"/>
    <x v="2"/>
    <x v="0"/>
    <s v="Los Angeles"/>
    <x v="7"/>
    <n v="90008"/>
    <x v="1"/>
    <s v="TEC-PH-10002496"/>
    <x v="1"/>
    <x v="7"/>
    <x v="574"/>
    <n v="374.37599999999998"/>
    <x v="2"/>
    <x v="1"/>
    <n v="46.796999999999997"/>
    <x v="3"/>
    <x v="11"/>
    <x v="11"/>
  </r>
  <r>
    <n v="250"/>
    <s v="CA-2016-154739"/>
    <x v="508"/>
    <d v="2016-12-15T00:00:00"/>
    <x v="0"/>
    <s v="LH-17155"/>
    <s v="Logan Haushalter"/>
    <x v="2"/>
    <x v="0"/>
    <s v="San Francisco"/>
    <x v="7"/>
    <n v="94109"/>
    <x v="1"/>
    <s v="FUR-CH-10002965"/>
    <x v="2"/>
    <x v="13"/>
    <x v="556"/>
    <n v="321.56799999999998"/>
    <x v="0"/>
    <x v="1"/>
    <n v="28.1372"/>
    <x v="1"/>
    <x v="11"/>
    <x v="11"/>
  </r>
  <r>
    <n v="564"/>
    <s v="CA-2015-130736"/>
    <x v="497"/>
    <d v="2015-12-09T00:00:00"/>
    <x v="2"/>
    <s v="JF-15490"/>
    <s v="Jeremy Farry"/>
    <x v="2"/>
    <x v="0"/>
    <s v="Seattle"/>
    <x v="2"/>
    <n v="98105"/>
    <x v="1"/>
    <s v="OFF-FA-10003467"/>
    <x v="0"/>
    <x v="12"/>
    <x v="575"/>
    <n v="3.96"/>
    <x v="0"/>
    <x v="0"/>
    <n v="0"/>
    <x v="0"/>
    <x v="11"/>
    <x v="11"/>
  </r>
  <r>
    <n v="582"/>
    <s v="CA-2017-145233"/>
    <x v="511"/>
    <d v="2017-12-05T00:00:00"/>
    <x v="1"/>
    <s v="DV-13465"/>
    <s v="Dianna Vittorini"/>
    <x v="2"/>
    <x v="0"/>
    <s v="Denver"/>
    <x v="9"/>
    <n v="80219"/>
    <x v="1"/>
    <s v="TEC-PH-10004977"/>
    <x v="1"/>
    <x v="7"/>
    <x v="565"/>
    <n v="470.37599999999998"/>
    <x v="2"/>
    <x v="1"/>
    <n v="52.917299999999997"/>
    <x v="2"/>
    <x v="11"/>
    <x v="11"/>
  </r>
  <r>
    <n v="1297"/>
    <s v="CA-2017-115427"/>
    <x v="503"/>
    <d v="2018-01-03T00:00:00"/>
    <x v="1"/>
    <s v="EB-13975"/>
    <s v="Erica Bern"/>
    <x v="0"/>
    <x v="0"/>
    <s v="Fairfield"/>
    <x v="7"/>
    <n v="94533"/>
    <x v="1"/>
    <s v="OFF-BI-10002103"/>
    <x v="0"/>
    <x v="10"/>
    <x v="576"/>
    <n v="13.904"/>
    <x v="0"/>
    <x v="1"/>
    <n v="4.5187999999999997"/>
    <x v="2"/>
    <x v="11"/>
    <x v="11"/>
  </r>
  <r>
    <n v="14"/>
    <s v="CA-2016-161389"/>
    <x v="512"/>
    <d v="2016-12-10T00:00:00"/>
    <x v="1"/>
    <s v="IM-15070"/>
    <s v="Irene Maddox"/>
    <x v="2"/>
    <x v="0"/>
    <s v="Seattle"/>
    <x v="2"/>
    <n v="98103"/>
    <x v="1"/>
    <s v="OFF-BI-10003656"/>
    <x v="0"/>
    <x v="10"/>
    <x v="520"/>
    <n v="407.976"/>
    <x v="2"/>
    <x v="1"/>
    <n v="132.59219999999999"/>
    <x v="1"/>
    <x v="11"/>
    <x v="11"/>
  </r>
  <r>
    <n v="622"/>
    <s v="US-2014-111171"/>
    <x v="513"/>
    <d v="2014-12-31T00:00:00"/>
    <x v="1"/>
    <s v="CA-12265"/>
    <s v="Christina Anderson"/>
    <x v="2"/>
    <x v="0"/>
    <s v="Chicago"/>
    <x v="5"/>
    <n v="60610"/>
    <x v="3"/>
    <s v="OFF-BI-10002103"/>
    <x v="0"/>
    <x v="10"/>
    <x v="576"/>
    <n v="8.69"/>
    <x v="3"/>
    <x v="6"/>
    <n v="-14.773"/>
    <x v="1"/>
    <x v="11"/>
    <x v="11"/>
  </r>
  <r>
    <n v="22"/>
    <s v="CA-2016-137330"/>
    <x v="514"/>
    <d v="2016-12-13T00:00:00"/>
    <x v="1"/>
    <s v="KB-16585"/>
    <s v="Ken Black"/>
    <x v="0"/>
    <x v="0"/>
    <s v="Fremont"/>
    <x v="40"/>
    <n v="68025"/>
    <x v="3"/>
    <s v="OFF-AR-10000246"/>
    <x v="0"/>
    <x v="3"/>
    <x v="577"/>
    <n v="19.46"/>
    <x v="4"/>
    <x v="0"/>
    <n v="5.0595999999999997"/>
    <x v="2"/>
    <x v="11"/>
    <x v="11"/>
  </r>
  <r>
    <n v="1516"/>
    <s v="US-2017-160759"/>
    <x v="499"/>
    <d v="2017-12-17T00:00:00"/>
    <x v="1"/>
    <s v="AI-10855"/>
    <s v="Arianne Irving"/>
    <x v="2"/>
    <x v="0"/>
    <s v="Philadelphia"/>
    <x v="31"/>
    <n v="19120"/>
    <x v="2"/>
    <s v="FUR-CH-10002961"/>
    <x v="2"/>
    <x v="13"/>
    <x v="420"/>
    <n v="63.686"/>
    <x v="1"/>
    <x v="8"/>
    <n v="-9.0980000000000008"/>
    <x v="4"/>
    <x v="11"/>
    <x v="11"/>
  </r>
  <r>
    <n v="1507"/>
    <s v="CA-2017-154935"/>
    <x v="515"/>
    <d v="2017-12-29T00:00:00"/>
    <x v="1"/>
    <s v="AR-10540"/>
    <s v="Andy Reiter"/>
    <x v="2"/>
    <x v="0"/>
    <s v="New York City"/>
    <x v="20"/>
    <n v="10024"/>
    <x v="2"/>
    <s v="OFF-BI-10003708"/>
    <x v="0"/>
    <x v="10"/>
    <x v="578"/>
    <n v="17.88"/>
    <x v="2"/>
    <x v="1"/>
    <n v="5.5875000000000004"/>
    <x v="1"/>
    <x v="11"/>
    <x v="11"/>
  </r>
  <r>
    <n v="287"/>
    <s v="CA-2016-112697"/>
    <x v="495"/>
    <d v="2016-12-20T00:00:00"/>
    <x v="0"/>
    <s v="AH-10195"/>
    <s v="Alan Haines"/>
    <x v="0"/>
    <x v="0"/>
    <s v="Tamarac"/>
    <x v="22"/>
    <n v="33319"/>
    <x v="0"/>
    <s v="OFF-BI-10000778"/>
    <x v="0"/>
    <x v="10"/>
    <x v="579"/>
    <n v="254.05799999999999"/>
    <x v="4"/>
    <x v="7"/>
    <n v="-169.37200000000001"/>
    <x v="0"/>
    <x v="11"/>
    <x v="11"/>
  </r>
  <r>
    <n v="5531"/>
    <s v="CA-2017-160885"/>
    <x v="516"/>
    <d v="2017-12-06T00:00:00"/>
    <x v="1"/>
    <s v="JK-16090"/>
    <s v="Juliana Krohn"/>
    <x v="2"/>
    <x v="0"/>
    <s v="Omaha"/>
    <x v="40"/>
    <n v="68104"/>
    <x v="3"/>
    <s v="TEC-PH-10001795"/>
    <x v="1"/>
    <x v="7"/>
    <x v="580"/>
    <n v="2479.96"/>
    <x v="6"/>
    <x v="0"/>
    <n v="743.98800000000006"/>
    <x v="2"/>
    <x v="11"/>
    <x v="11"/>
  </r>
  <r>
    <n v="514"/>
    <s v="CA-2017-163405"/>
    <x v="517"/>
    <d v="2017-12-25T00:00:00"/>
    <x v="1"/>
    <s v="BN-11515"/>
    <s v="Bradley Nguyen"/>
    <x v="2"/>
    <x v="0"/>
    <s v="Los Angeles"/>
    <x v="7"/>
    <n v="90049"/>
    <x v="1"/>
    <s v="OFF-AR-10003811"/>
    <x v="0"/>
    <x v="3"/>
    <x v="581"/>
    <n v="6.63"/>
    <x v="2"/>
    <x v="0"/>
    <n v="1.7901"/>
    <x v="2"/>
    <x v="11"/>
    <x v="11"/>
  </r>
  <r>
    <n v="294"/>
    <s v="CA-2014-111451"/>
    <x v="513"/>
    <d v="2014-12-28T00:00:00"/>
    <x v="2"/>
    <s v="KL-16555"/>
    <s v="Kelly Lampkin"/>
    <x v="0"/>
    <x v="0"/>
    <s v="Colorado Springs"/>
    <x v="9"/>
    <n v="80906"/>
    <x v="1"/>
    <s v="FUR-FU-10004091"/>
    <x v="2"/>
    <x v="5"/>
    <x v="582"/>
    <n v="300.416"/>
    <x v="5"/>
    <x v="1"/>
    <n v="78.859200000000001"/>
    <x v="0"/>
    <x v="11"/>
    <x v="11"/>
  </r>
  <r>
    <n v="259"/>
    <s v="CA-2017-163139"/>
    <x v="511"/>
    <d v="2017-12-03T00:00:00"/>
    <x v="0"/>
    <s v="CC-12670"/>
    <s v="Craig Carreira"/>
    <x v="2"/>
    <x v="0"/>
    <s v="New York City"/>
    <x v="20"/>
    <n v="10009"/>
    <x v="2"/>
    <s v="TEC-AC-10000290"/>
    <x v="1"/>
    <x v="4"/>
    <x v="401"/>
    <n v="20.37"/>
    <x v="2"/>
    <x v="0"/>
    <n v="6.9257999999999997"/>
    <x v="0"/>
    <x v="11"/>
    <x v="11"/>
  </r>
  <r>
    <n v="4006"/>
    <s v="US-2015-168732"/>
    <x v="518"/>
    <d v="2015-12-16T00:00:00"/>
    <x v="1"/>
    <s v="KM-16660"/>
    <s v="Khloe Miller"/>
    <x v="2"/>
    <x v="0"/>
    <s v="Roswell"/>
    <x v="4"/>
    <n v="30076"/>
    <x v="0"/>
    <s v="OFF-AR-10003087"/>
    <x v="0"/>
    <x v="3"/>
    <x v="10"/>
    <n v="1.78"/>
    <x v="1"/>
    <x v="0"/>
    <n v="0.49840000000000001"/>
    <x v="4"/>
    <x v="11"/>
    <x v="11"/>
  </r>
  <r>
    <n v="68"/>
    <s v="CA-2014-106376"/>
    <x v="519"/>
    <d v="2014-12-10T00:00:00"/>
    <x v="1"/>
    <s v="BS-11590"/>
    <s v="Brendan Sweed"/>
    <x v="0"/>
    <x v="0"/>
    <s v="Gilbert"/>
    <x v="19"/>
    <n v="85234"/>
    <x v="1"/>
    <s v="OFF-AR-10002671"/>
    <x v="0"/>
    <x v="3"/>
    <x v="583"/>
    <n v="1113.0239999999999"/>
    <x v="5"/>
    <x v="1"/>
    <n v="111.30240000000001"/>
    <x v="1"/>
    <x v="11"/>
    <x v="11"/>
  </r>
  <r>
    <n v="669"/>
    <s v="CA-2014-156314"/>
    <x v="520"/>
    <d v="2014-12-26T00:00:00"/>
    <x v="2"/>
    <s v="RP-19390"/>
    <s v="Resi Pölking"/>
    <x v="2"/>
    <x v="0"/>
    <s v="Cleveland"/>
    <x v="3"/>
    <n v="44105"/>
    <x v="2"/>
    <s v="FUR-FU-10003096"/>
    <x v="2"/>
    <x v="5"/>
    <x v="584"/>
    <n v="30.36"/>
    <x v="3"/>
    <x v="1"/>
    <n v="8.7285000000000004"/>
    <x v="0"/>
    <x v="11"/>
    <x v="11"/>
  </r>
  <r>
    <n v="1025"/>
    <s v="CA-2017-106964"/>
    <x v="521"/>
    <d v="2017-12-20T00:00:00"/>
    <x v="2"/>
    <s v="HR-14770"/>
    <s v="Hallie Redmond"/>
    <x v="1"/>
    <x v="0"/>
    <s v="Los Angeles"/>
    <x v="7"/>
    <n v="90045"/>
    <x v="1"/>
    <s v="OFF-BI-10000320"/>
    <x v="0"/>
    <x v="10"/>
    <x v="585"/>
    <n v="11.808"/>
    <x v="0"/>
    <x v="1"/>
    <n v="4.2804000000000002"/>
    <x v="3"/>
    <x v="11"/>
    <x v="11"/>
  </r>
  <r>
    <n v="1014"/>
    <s v="US-2015-126214"/>
    <x v="492"/>
    <d v="2015-12-24T00:00:00"/>
    <x v="0"/>
    <s v="JS-15880"/>
    <s v="John Stevenson"/>
    <x v="2"/>
    <x v="0"/>
    <s v="Seattle"/>
    <x v="2"/>
    <n v="98103"/>
    <x v="1"/>
    <s v="FUR-TA-10003748"/>
    <x v="2"/>
    <x v="6"/>
    <x v="586"/>
    <n v="1618.37"/>
    <x v="9"/>
    <x v="0"/>
    <n v="356.04140000000001"/>
    <x v="3"/>
    <x v="11"/>
    <x v="11"/>
  </r>
  <r>
    <n v="2963"/>
    <s v="CA-2017-137428"/>
    <x v="522"/>
    <d v="2017-12-21T00:00:00"/>
    <x v="0"/>
    <s v="AY-10555"/>
    <s v="Andy Yotov"/>
    <x v="0"/>
    <x v="0"/>
    <s v="Oceanside"/>
    <x v="7"/>
    <n v="92054"/>
    <x v="1"/>
    <s v="FUR-CH-10002774"/>
    <x v="2"/>
    <x v="13"/>
    <x v="280"/>
    <n v="81.567999999999998"/>
    <x v="0"/>
    <x v="1"/>
    <n v="9.1763999999999992"/>
    <x v="1"/>
    <x v="11"/>
    <x v="11"/>
  </r>
  <r>
    <n v="180"/>
    <s v="CA-2015-137225"/>
    <x v="523"/>
    <d v="2015-12-19T00:00:00"/>
    <x v="1"/>
    <s v="JK-15640"/>
    <s v="Jim Kriz"/>
    <x v="1"/>
    <x v="0"/>
    <s v="New York City"/>
    <x v="20"/>
    <n v="10009"/>
    <x v="2"/>
    <s v="OFF-AR-10001940"/>
    <x v="0"/>
    <x v="3"/>
    <x v="587"/>
    <n v="3.28"/>
    <x v="1"/>
    <x v="0"/>
    <n v="1.4104000000000001"/>
    <x v="2"/>
    <x v="11"/>
    <x v="11"/>
  </r>
  <r>
    <n v="2137"/>
    <s v="CA-2015-156377"/>
    <x v="524"/>
    <d v="2016-01-05T00:00:00"/>
    <x v="1"/>
    <s v="TB-21625"/>
    <s v="Trudy Brown"/>
    <x v="2"/>
    <x v="0"/>
    <s v="Grand Prairie"/>
    <x v="11"/>
    <n v="75051"/>
    <x v="3"/>
    <s v="FUR-FU-10002364"/>
    <x v="2"/>
    <x v="5"/>
    <x v="588"/>
    <n v="14.76"/>
    <x v="3"/>
    <x v="4"/>
    <n v="-11.439"/>
    <x v="1"/>
    <x v="11"/>
    <x v="11"/>
  </r>
  <r>
    <n v="103"/>
    <s v="CA-2016-129903"/>
    <x v="525"/>
    <d v="2016-12-04T00:00:00"/>
    <x v="0"/>
    <s v="GZ-14470"/>
    <s v="Gary Zandusky"/>
    <x v="2"/>
    <x v="0"/>
    <s v="Rochester"/>
    <x v="10"/>
    <n v="55901"/>
    <x v="3"/>
    <s v="OFF-PA-10004040"/>
    <x v="0"/>
    <x v="9"/>
    <x v="589"/>
    <n v="23.92"/>
    <x v="6"/>
    <x v="0"/>
    <n v="11.720800000000001"/>
    <x v="3"/>
    <x v="11"/>
    <x v="11"/>
  </r>
  <r>
    <n v="2852"/>
    <s v="CA-2017-107342"/>
    <x v="521"/>
    <d v="2017-12-22T00:00:00"/>
    <x v="1"/>
    <s v="VF-21715"/>
    <s v="Vicky Freymann"/>
    <x v="1"/>
    <x v="0"/>
    <s v="Columbus"/>
    <x v="29"/>
    <n v="47201"/>
    <x v="3"/>
    <s v="OFF-PA-10001745"/>
    <x v="0"/>
    <x v="9"/>
    <x v="237"/>
    <n v="28.16"/>
    <x v="6"/>
    <x v="0"/>
    <n v="13.235200000000001"/>
    <x v="1"/>
    <x v="11"/>
    <x v="11"/>
  </r>
  <r>
    <n v="111"/>
    <s v="CA-2017-146780"/>
    <x v="526"/>
    <d v="2017-12-30T00:00:00"/>
    <x v="1"/>
    <s v="CV-12805"/>
    <s v="Cynthia Voltz"/>
    <x v="0"/>
    <x v="0"/>
    <s v="New York City"/>
    <x v="20"/>
    <n v="10035"/>
    <x v="2"/>
    <s v="FUR-FU-10001934"/>
    <x v="2"/>
    <x v="5"/>
    <x v="590"/>
    <n v="41.96"/>
    <x v="0"/>
    <x v="0"/>
    <n v="10.909599999999999"/>
    <x v="1"/>
    <x v="11"/>
    <x v="11"/>
  </r>
  <r>
    <n v="2222"/>
    <s v="CA-2015-131884"/>
    <x v="506"/>
    <d v="2015-12-06T00:00:00"/>
    <x v="3"/>
    <s v="DK-13375"/>
    <s v="Dennis Kane"/>
    <x v="2"/>
    <x v="0"/>
    <s v="Marion"/>
    <x v="3"/>
    <n v="43302"/>
    <x v="2"/>
    <s v="TEC-PH-10001578"/>
    <x v="1"/>
    <x v="7"/>
    <x v="591"/>
    <n v="485.94"/>
    <x v="0"/>
    <x v="5"/>
    <n v="-89.088999999999999"/>
    <x v="6"/>
    <x v="11"/>
    <x v="11"/>
  </r>
  <r>
    <n v="125"/>
    <s v="US-2014-152030"/>
    <x v="513"/>
    <d v="2014-12-28T00:00:00"/>
    <x v="0"/>
    <s v="AD-10180"/>
    <s v="Alan Dominguez"/>
    <x v="1"/>
    <x v="0"/>
    <s v="Houston"/>
    <x v="11"/>
    <n v="77041"/>
    <x v="3"/>
    <s v="FUR-CH-10004063"/>
    <x v="2"/>
    <x v="13"/>
    <x v="95"/>
    <n v="600.55799999999999"/>
    <x v="2"/>
    <x v="8"/>
    <n v="-8.5793999999999997"/>
    <x v="0"/>
    <x v="11"/>
    <x v="11"/>
  </r>
  <r>
    <n v="2749"/>
    <s v="CA-2015-110247"/>
    <x v="527"/>
    <d v="2015-12-08T00:00:00"/>
    <x v="1"/>
    <s v="RH-19555"/>
    <s v="Ritsa Hightower"/>
    <x v="2"/>
    <x v="0"/>
    <s v="Tallahassee"/>
    <x v="22"/>
    <n v="32303"/>
    <x v="0"/>
    <s v="OFF-BI-10001553"/>
    <x v="0"/>
    <x v="10"/>
    <x v="592"/>
    <n v="8.2260000000000009"/>
    <x v="2"/>
    <x v="7"/>
    <n v="-6.0324"/>
    <x v="2"/>
    <x v="11"/>
    <x v="11"/>
  </r>
  <r>
    <n v="406"/>
    <s v="CA-2017-117457"/>
    <x v="528"/>
    <d v="2017-12-12T00:00:00"/>
    <x v="1"/>
    <s v="KH-16510"/>
    <s v="Keith Herrera"/>
    <x v="2"/>
    <x v="0"/>
    <s v="San Francisco"/>
    <x v="7"/>
    <n v="94110"/>
    <x v="1"/>
    <s v="TEC-AC-10000158"/>
    <x v="1"/>
    <x v="4"/>
    <x v="253"/>
    <n v="179.95"/>
    <x v="3"/>
    <x v="0"/>
    <n v="37.789499999999997"/>
    <x v="2"/>
    <x v="11"/>
    <x v="11"/>
  </r>
  <r>
    <n v="405"/>
    <s v="CA-2017-117933"/>
    <x v="515"/>
    <d v="2017-12-29T00:00:00"/>
    <x v="1"/>
    <s v="RF-19840"/>
    <s v="Roy Französisch"/>
    <x v="2"/>
    <x v="0"/>
    <s v="New York City"/>
    <x v="20"/>
    <n v="10024"/>
    <x v="2"/>
    <s v="OFF-AP-10004249"/>
    <x v="0"/>
    <x v="14"/>
    <x v="593"/>
    <n v="35.909999999999997"/>
    <x v="2"/>
    <x v="0"/>
    <n v="9.6957000000000004"/>
    <x v="1"/>
    <x v="11"/>
    <x v="11"/>
  </r>
  <r>
    <n v="435"/>
    <s v="US-2014-150574"/>
    <x v="529"/>
    <d v="2014-12-25T00:00:00"/>
    <x v="1"/>
    <s v="MK-18160"/>
    <s v="Mike Kennedy"/>
    <x v="2"/>
    <x v="0"/>
    <s v="Jacksonville"/>
    <x v="22"/>
    <n v="32216"/>
    <x v="0"/>
    <s v="OFF-BI-10000773"/>
    <x v="0"/>
    <x v="10"/>
    <x v="144"/>
    <n v="4.8120000000000003"/>
    <x v="0"/>
    <x v="7"/>
    <n v="-3.6892"/>
    <x v="4"/>
    <x v="11"/>
    <x v="11"/>
  </r>
  <r>
    <n v="2262"/>
    <s v="US-2015-137960"/>
    <x v="493"/>
    <d v="2015-12-18T00:00:00"/>
    <x v="3"/>
    <s v="MW-18220"/>
    <s v="Mitch Webber"/>
    <x v="2"/>
    <x v="0"/>
    <s v="New York City"/>
    <x v="20"/>
    <n v="10035"/>
    <x v="2"/>
    <s v="TEC-AC-10002253"/>
    <x v="1"/>
    <x v="4"/>
    <x v="101"/>
    <n v="166.24"/>
    <x v="1"/>
    <x v="0"/>
    <n v="24.936"/>
    <x v="6"/>
    <x v="11"/>
    <x v="11"/>
  </r>
  <r>
    <n v="2675"/>
    <s v="CA-2017-136875"/>
    <x v="530"/>
    <d v="2017-12-03T00:00:00"/>
    <x v="3"/>
    <s v="TC-21295"/>
    <s v="Toby Carlisle"/>
    <x v="2"/>
    <x v="0"/>
    <s v="San Diego"/>
    <x v="7"/>
    <n v="92024"/>
    <x v="1"/>
    <s v="OFF-PA-10000357"/>
    <x v="0"/>
    <x v="9"/>
    <x v="594"/>
    <n v="166.44"/>
    <x v="2"/>
    <x v="0"/>
    <n v="79.891199999999998"/>
    <x v="6"/>
    <x v="11"/>
    <x v="11"/>
  </r>
  <r>
    <n v="162"/>
    <s v="CA-2015-119697"/>
    <x v="531"/>
    <d v="2015-12-31T00:00:00"/>
    <x v="0"/>
    <s v="EM-13960"/>
    <s v="Eric Murdock"/>
    <x v="2"/>
    <x v="0"/>
    <s v="Philadelphia"/>
    <x v="31"/>
    <n v="19134"/>
    <x v="2"/>
    <s v="TEC-AC-10003657"/>
    <x v="1"/>
    <x v="4"/>
    <x v="595"/>
    <n v="54.384"/>
    <x v="0"/>
    <x v="1"/>
    <n v="1.3595999999999999"/>
    <x v="3"/>
    <x v="11"/>
    <x v="11"/>
  </r>
  <r>
    <n v="954"/>
    <s v="CA-2017-136539"/>
    <x v="490"/>
    <d v="2018-01-01T00:00:00"/>
    <x v="1"/>
    <s v="GH-14665"/>
    <s v="Greg Hansen"/>
    <x v="2"/>
    <x v="0"/>
    <s v="Round Rock"/>
    <x v="11"/>
    <n v="78664"/>
    <x v="3"/>
    <s v="OFF-AR-10001958"/>
    <x v="0"/>
    <x v="3"/>
    <x v="596"/>
    <n v="27.167999999999999"/>
    <x v="0"/>
    <x v="1"/>
    <n v="2.7168000000000001"/>
    <x v="2"/>
    <x v="11"/>
    <x v="11"/>
  </r>
  <r>
    <n v="939"/>
    <s v="CA-2015-148250"/>
    <x v="532"/>
    <d v="2015-12-17T00:00:00"/>
    <x v="1"/>
    <s v="RP-19270"/>
    <s v="Rachel Payne"/>
    <x v="0"/>
    <x v="0"/>
    <s v="Riverside"/>
    <x v="7"/>
    <n v="92503"/>
    <x v="1"/>
    <s v="OFF-PA-10000289"/>
    <x v="0"/>
    <x v="9"/>
    <x v="597"/>
    <n v="12.96"/>
    <x v="0"/>
    <x v="0"/>
    <n v="6.2207999999999997"/>
    <x v="2"/>
    <x v="11"/>
    <x v="11"/>
  </r>
  <r>
    <n v="2623"/>
    <s v="CA-2014-164861"/>
    <x v="533"/>
    <d v="2014-12-06T00:00:00"/>
    <x v="0"/>
    <s v="MC-17635"/>
    <s v="Matthew Clasen"/>
    <x v="0"/>
    <x v="0"/>
    <s v="Saint Louis"/>
    <x v="23"/>
    <n v="63116"/>
    <x v="3"/>
    <s v="OFF-PA-10001972"/>
    <x v="0"/>
    <x v="9"/>
    <x v="598"/>
    <n v="25.92"/>
    <x v="6"/>
    <x v="0"/>
    <n v="12.441599999999999"/>
    <x v="3"/>
    <x v="11"/>
    <x v="11"/>
  </r>
  <r>
    <n v="873"/>
    <s v="CA-2014-148488"/>
    <x v="534"/>
    <d v="2014-12-15T00:00:00"/>
    <x v="1"/>
    <s v="SM-20005"/>
    <s v="Sally Matthias"/>
    <x v="2"/>
    <x v="0"/>
    <s v="New York City"/>
    <x v="20"/>
    <n v="10009"/>
    <x v="2"/>
    <s v="OFF-PA-10004470"/>
    <x v="0"/>
    <x v="9"/>
    <x v="599"/>
    <n v="11.36"/>
    <x v="0"/>
    <x v="0"/>
    <n v="5.2256"/>
    <x v="1"/>
    <x v="11"/>
    <x v="11"/>
  </r>
  <r>
    <n v="2390"/>
    <s v="US-2015-127040"/>
    <x v="506"/>
    <d v="2015-12-10T00:00:00"/>
    <x v="1"/>
    <s v="SG-20605"/>
    <s v="Speros Goranitis"/>
    <x v="2"/>
    <x v="0"/>
    <s v="New York City"/>
    <x v="20"/>
    <n v="10009"/>
    <x v="2"/>
    <s v="OFF-PA-10004255"/>
    <x v="0"/>
    <x v="9"/>
    <x v="600"/>
    <n v="6.48"/>
    <x v="1"/>
    <x v="0"/>
    <n v="3.1103999999999998"/>
    <x v="2"/>
    <x v="11"/>
    <x v="11"/>
  </r>
  <r>
    <n v="2606"/>
    <s v="CA-2014-112718"/>
    <x v="535"/>
    <d v="2014-12-21T00:00:00"/>
    <x v="1"/>
    <s v="KN-16450"/>
    <s v="Kean Nguyen"/>
    <x v="0"/>
    <x v="0"/>
    <s v="Jacksonville"/>
    <x v="22"/>
    <n v="32216"/>
    <x v="0"/>
    <s v="OFF-BI-10000591"/>
    <x v="0"/>
    <x v="10"/>
    <x v="601"/>
    <n v="1.167"/>
    <x v="1"/>
    <x v="7"/>
    <n v="-0.85580000000000001"/>
    <x v="1"/>
    <x v="11"/>
    <x v="11"/>
  </r>
  <r>
    <n v="387"/>
    <s v="CA-2015-122756"/>
    <x v="536"/>
    <d v="2015-12-07T00:00:00"/>
    <x v="1"/>
    <s v="DK-13225"/>
    <s v="Dean Katz"/>
    <x v="0"/>
    <x v="0"/>
    <s v="Philadelphia"/>
    <x v="31"/>
    <n v="19140"/>
    <x v="2"/>
    <s v="TEC-MA-10001681"/>
    <x v="1"/>
    <x v="11"/>
    <x v="602"/>
    <n v="482.34"/>
    <x v="6"/>
    <x v="7"/>
    <n v="-337.63799999999998"/>
    <x v="2"/>
    <x v="11"/>
    <x v="11"/>
  </r>
  <r>
    <n v="2566"/>
    <s v="CA-2017-109589"/>
    <x v="517"/>
    <d v="2017-12-24T00:00:00"/>
    <x v="2"/>
    <s v="BD-11635"/>
    <s v="Brian Derr"/>
    <x v="2"/>
    <x v="0"/>
    <s v="Bowling Green"/>
    <x v="24"/>
    <n v="42104"/>
    <x v="0"/>
    <s v="TEC-AC-10003116"/>
    <x v="1"/>
    <x v="4"/>
    <x v="73"/>
    <n v="71"/>
    <x v="6"/>
    <x v="0"/>
    <n v="27.69"/>
    <x v="3"/>
    <x v="11"/>
    <x v="11"/>
  </r>
  <r>
    <n v="148"/>
    <s v="CA-2016-114489"/>
    <x v="512"/>
    <d v="2016-12-09T00:00:00"/>
    <x v="1"/>
    <s v="JE-16165"/>
    <s v="Justin Ellison"/>
    <x v="0"/>
    <x v="0"/>
    <s v="Franklin"/>
    <x v="16"/>
    <n v="53132"/>
    <x v="3"/>
    <s v="TEC-PH-10000215"/>
    <x v="1"/>
    <x v="7"/>
    <x v="457"/>
    <n v="384.45"/>
    <x v="12"/>
    <x v="0"/>
    <n v="103.8015"/>
    <x v="2"/>
    <x v="11"/>
    <x v="11"/>
  </r>
  <r>
    <n v="145"/>
    <s v="CA-2017-155376"/>
    <x v="537"/>
    <d v="2017-12-27T00:00:00"/>
    <x v="1"/>
    <s v="SG-20080"/>
    <s v="Sandra Glassco"/>
    <x v="2"/>
    <x v="0"/>
    <s v="Independence"/>
    <x v="23"/>
    <n v="64055"/>
    <x v="3"/>
    <s v="OFF-AP-10001058"/>
    <x v="0"/>
    <x v="14"/>
    <x v="603"/>
    <n v="839.43"/>
    <x v="2"/>
    <x v="0"/>
    <n v="218.2518"/>
    <x v="1"/>
    <x v="11"/>
    <x v="11"/>
  </r>
  <r>
    <n v="390"/>
    <s v="CA-2017-101798"/>
    <x v="499"/>
    <d v="2017-12-15T00:00:00"/>
    <x v="1"/>
    <s v="MV-18190"/>
    <s v="Mike Vittorini"/>
    <x v="2"/>
    <x v="0"/>
    <s v="New York City"/>
    <x v="20"/>
    <n v="10009"/>
    <x v="2"/>
    <s v="OFF-BI-10000050"/>
    <x v="0"/>
    <x v="10"/>
    <x v="604"/>
    <n v="23.36"/>
    <x v="6"/>
    <x v="1"/>
    <n v="7.8840000000000003"/>
    <x v="2"/>
    <x v="11"/>
    <x v="11"/>
  </r>
  <r>
    <n v="403"/>
    <s v="CA-2014-113166"/>
    <x v="520"/>
    <d v="2014-12-26T00:00:00"/>
    <x v="2"/>
    <s v="LF-17185"/>
    <s v="Luke Foster"/>
    <x v="2"/>
    <x v="0"/>
    <s v="Miami"/>
    <x v="22"/>
    <n v="33180"/>
    <x v="0"/>
    <s v="OFF-PA-10001947"/>
    <x v="0"/>
    <x v="9"/>
    <x v="605"/>
    <n v="9.5679999999999996"/>
    <x v="0"/>
    <x v="1"/>
    <n v="3.4683999999999999"/>
    <x v="0"/>
    <x v="11"/>
    <x v="11"/>
  </r>
  <r>
    <n v="317"/>
    <s v="CA-2014-164259"/>
    <x v="538"/>
    <d v="2014-12-30T00:00:00"/>
    <x v="2"/>
    <s v="SP-20860"/>
    <s v="Sung Pak"/>
    <x v="0"/>
    <x v="0"/>
    <s v="Philadelphia"/>
    <x v="31"/>
    <n v="19143"/>
    <x v="2"/>
    <s v="OFF-AR-10003373"/>
    <x v="0"/>
    <x v="3"/>
    <x v="169"/>
    <n v="99.135999999999996"/>
    <x v="6"/>
    <x v="1"/>
    <n v="8.6744000000000003"/>
    <x v="0"/>
    <x v="11"/>
    <x v="11"/>
  </r>
  <r>
    <n v="788"/>
    <s v="CA-2015-154620"/>
    <x v="539"/>
    <d v="2015-12-16T00:00:00"/>
    <x v="1"/>
    <s v="LT-17110"/>
    <s v="Liz Thompson"/>
    <x v="2"/>
    <x v="0"/>
    <s v="Lancaster"/>
    <x v="7"/>
    <n v="93534"/>
    <x v="1"/>
    <s v="FUR-CH-10004675"/>
    <x v="2"/>
    <x v="13"/>
    <x v="606"/>
    <n v="348.928"/>
    <x v="0"/>
    <x v="1"/>
    <n v="34.892800000000001"/>
    <x v="2"/>
    <x v="11"/>
    <x v="11"/>
  </r>
  <r>
    <n v="181"/>
    <s v="CA-2014-166191"/>
    <x v="519"/>
    <d v="2014-12-09T00:00:00"/>
    <x v="0"/>
    <s v="DK-13150"/>
    <s v="David Kendrick"/>
    <x v="0"/>
    <x v="0"/>
    <s v="Decatur"/>
    <x v="5"/>
    <n v="62521"/>
    <x v="3"/>
    <s v="OFF-ST-10003455"/>
    <x v="0"/>
    <x v="2"/>
    <x v="607"/>
    <n v="24.815999999999999"/>
    <x v="0"/>
    <x v="1"/>
    <n v="1.8612"/>
    <x v="2"/>
    <x v="11"/>
    <x v="11"/>
  </r>
  <r>
    <n v="674"/>
    <s v="CA-2017-130351"/>
    <x v="540"/>
    <d v="2017-12-08T00:00:00"/>
    <x v="2"/>
    <s v="RB-19570"/>
    <s v="Rob Beeghly"/>
    <x v="2"/>
    <x v="0"/>
    <s v="Columbus"/>
    <x v="29"/>
    <n v="47201"/>
    <x v="3"/>
    <s v="OFF-AP-10004532"/>
    <x v="0"/>
    <x v="14"/>
    <x v="44"/>
    <n v="61.44"/>
    <x v="2"/>
    <x v="0"/>
    <n v="16.588799999999999"/>
    <x v="3"/>
    <x v="11"/>
    <x v="11"/>
  </r>
  <r>
    <n v="207"/>
    <s v="CA-2017-135860"/>
    <x v="511"/>
    <d v="2017-12-07T00:00:00"/>
    <x v="1"/>
    <s v="JH-15985"/>
    <s v="Joseph Holt"/>
    <x v="2"/>
    <x v="0"/>
    <s v="Saginaw"/>
    <x v="13"/>
    <n v="48601"/>
    <x v="3"/>
    <s v="OFF-ST-10000642"/>
    <x v="0"/>
    <x v="2"/>
    <x v="608"/>
    <n v="83.92"/>
    <x v="6"/>
    <x v="0"/>
    <n v="5.8743999999999996"/>
    <x v="4"/>
    <x v="11"/>
    <x v="11"/>
  </r>
  <r>
    <n v="689"/>
    <s v="CA-2017-161480"/>
    <x v="526"/>
    <d v="2017-12-29T00:00:00"/>
    <x v="1"/>
    <s v="RA-19285"/>
    <s v="Ralph Arnett"/>
    <x v="2"/>
    <x v="0"/>
    <s v="New York City"/>
    <x v="20"/>
    <n v="10035"/>
    <x v="2"/>
    <s v="FUR-BO-10004015"/>
    <x v="2"/>
    <x v="8"/>
    <x v="39"/>
    <n v="191.98400000000001"/>
    <x v="0"/>
    <x v="1"/>
    <n v="4.7995999999999999"/>
    <x v="2"/>
    <x v="11"/>
    <x v="11"/>
  </r>
  <r>
    <n v="496"/>
    <s v="CA-2015-134782"/>
    <x v="501"/>
    <d v="2015-12-31T00:00:00"/>
    <x v="1"/>
    <s v="MD-17350"/>
    <s v="Maribeth Dona"/>
    <x v="2"/>
    <x v="0"/>
    <s v="Fayetteville"/>
    <x v="39"/>
    <n v="72701"/>
    <x v="0"/>
    <s v="OFF-EN-10001434"/>
    <x v="0"/>
    <x v="0"/>
    <x v="609"/>
    <n v="105.42"/>
    <x v="0"/>
    <x v="0"/>
    <n v="51.655799999999999"/>
    <x v="2"/>
    <x v="11"/>
    <x v="11"/>
  </r>
  <r>
    <n v="1674"/>
    <s v="CA-2015-150560"/>
    <x v="541"/>
    <d v="2015-12-12T00:00:00"/>
    <x v="2"/>
    <s v="SW-20455"/>
    <s v="Shaun Weien"/>
    <x v="2"/>
    <x v="0"/>
    <s v="Suffolk"/>
    <x v="1"/>
    <n v="23434"/>
    <x v="0"/>
    <s v="OFF-LA-10003930"/>
    <x v="0"/>
    <x v="1"/>
    <x v="610"/>
    <n v="196.62"/>
    <x v="0"/>
    <x v="0"/>
    <n v="96.343800000000002"/>
    <x v="7"/>
    <x v="11"/>
    <x v="11"/>
  </r>
  <r>
    <n v="206"/>
    <s v="CA-2017-108329"/>
    <x v="491"/>
    <d v="2017-12-14T00:00:00"/>
    <x v="1"/>
    <s v="LE-16810"/>
    <s v="Laurel Elliston"/>
    <x v="2"/>
    <x v="0"/>
    <s v="Whittier"/>
    <x v="7"/>
    <n v="90604"/>
    <x v="1"/>
    <s v="TEC-PH-10001918"/>
    <x v="1"/>
    <x v="7"/>
    <x v="611"/>
    <n v="444.76799999999997"/>
    <x v="6"/>
    <x v="1"/>
    <n v="44.476799999999997"/>
    <x v="1"/>
    <x v="11"/>
    <x v="11"/>
  </r>
  <r>
    <n v="1246"/>
    <s v="CA-2014-168494"/>
    <x v="542"/>
    <d v="2014-12-14T00:00:00"/>
    <x v="0"/>
    <s v="NP-18700"/>
    <s v="Nora Preis"/>
    <x v="2"/>
    <x v="0"/>
    <s v="Fresno"/>
    <x v="7"/>
    <n v="93727"/>
    <x v="1"/>
    <s v="FUR-TA-10004619"/>
    <x v="2"/>
    <x v="6"/>
    <x v="612"/>
    <n v="764.68799999999999"/>
    <x v="7"/>
    <x v="1"/>
    <n v="95.585999999999999"/>
    <x v="0"/>
    <x v="11"/>
    <x v="11"/>
  </r>
  <r>
    <n v="1691"/>
    <s v="CA-2017-129833"/>
    <x v="491"/>
    <d v="2017-12-15T00:00:00"/>
    <x v="1"/>
    <s v="HF-14995"/>
    <s v="Herbert Flentye"/>
    <x v="2"/>
    <x v="0"/>
    <s v="Indianapolis"/>
    <x v="29"/>
    <n v="46203"/>
    <x v="3"/>
    <s v="OFF-PA-10000575"/>
    <x v="0"/>
    <x v="9"/>
    <x v="613"/>
    <n v="33.450000000000003"/>
    <x v="3"/>
    <x v="0"/>
    <n v="15.387"/>
    <x v="4"/>
    <x v="11"/>
    <x v="11"/>
  </r>
  <r>
    <n v="54"/>
    <s v="CA-2016-105816"/>
    <x v="496"/>
    <d v="2016-12-17T00:00:00"/>
    <x v="1"/>
    <s v="JM-15265"/>
    <s v="Janet Molinari"/>
    <x v="0"/>
    <x v="0"/>
    <s v="New York City"/>
    <x v="20"/>
    <n v="10024"/>
    <x v="2"/>
    <s v="OFF-FA-10000304"/>
    <x v="0"/>
    <x v="12"/>
    <x v="614"/>
    <n v="15.26"/>
    <x v="4"/>
    <x v="0"/>
    <n v="6.2565999999999997"/>
    <x v="4"/>
    <x v="11"/>
    <x v="11"/>
  </r>
  <r>
    <n v="204"/>
    <s v="US-2017-116701"/>
    <x v="521"/>
    <d v="2017-12-21T00:00:00"/>
    <x v="0"/>
    <s v="LC-17140"/>
    <s v="Logan Currie"/>
    <x v="2"/>
    <x v="0"/>
    <s v="Dallas"/>
    <x v="11"/>
    <n v="75220"/>
    <x v="3"/>
    <s v="OFF-AP-10003217"/>
    <x v="0"/>
    <x v="14"/>
    <x v="615"/>
    <n v="66.284000000000006"/>
    <x v="0"/>
    <x v="6"/>
    <n v="-178.96680000000001"/>
    <x v="2"/>
    <x v="11"/>
    <x v="11"/>
  </r>
  <r>
    <n v="708"/>
    <s v="CA-2014-112158"/>
    <x v="543"/>
    <d v="2014-12-04T00:00:00"/>
    <x v="2"/>
    <s v="DP-13165"/>
    <s v="David Philippe"/>
    <x v="2"/>
    <x v="0"/>
    <s v="New York City"/>
    <x v="20"/>
    <n v="10035"/>
    <x v="2"/>
    <s v="TEC-AC-10003628"/>
    <x v="1"/>
    <x v="4"/>
    <x v="4"/>
    <n v="119.96"/>
    <x v="6"/>
    <x v="0"/>
    <n v="52.782400000000003"/>
    <x v="0"/>
    <x v="11"/>
    <x v="11"/>
  </r>
  <r>
    <n v="3526"/>
    <s v="CA-2017-148922"/>
    <x v="489"/>
    <d v="2017-12-15T00:00:00"/>
    <x v="0"/>
    <s v="SU-20665"/>
    <s v="Stephanie Ulpright"/>
    <x v="1"/>
    <x v="0"/>
    <s v="Jackson"/>
    <x v="34"/>
    <n v="39212"/>
    <x v="0"/>
    <s v="TEC-AC-10001838"/>
    <x v="1"/>
    <x v="4"/>
    <x v="616"/>
    <n v="599.97"/>
    <x v="2"/>
    <x v="0"/>
    <n v="257.9871"/>
    <x v="1"/>
    <x v="11"/>
    <x v="11"/>
  </r>
  <r>
    <n v="1177"/>
    <s v="CA-2014-120243"/>
    <x v="544"/>
    <d v="2014-12-30T00:00:00"/>
    <x v="0"/>
    <s v="AT-10435"/>
    <s v="Alyssa Tate"/>
    <x v="1"/>
    <x v="0"/>
    <s v="Los Angeles"/>
    <x v="7"/>
    <n v="90004"/>
    <x v="1"/>
    <s v="OFF-LA-10004425"/>
    <x v="0"/>
    <x v="1"/>
    <x v="617"/>
    <n v="11.56"/>
    <x v="6"/>
    <x v="0"/>
    <n v="5.4332000000000003"/>
    <x v="3"/>
    <x v="11"/>
    <x v="11"/>
  </r>
  <r>
    <n v="2012"/>
    <s v="CA-2015-155761"/>
    <x v="541"/>
    <d v="2015-12-11T00:00:00"/>
    <x v="3"/>
    <s v="SC-20800"/>
    <s v="Stuart Calhoun"/>
    <x v="2"/>
    <x v="0"/>
    <s v="Houston"/>
    <x v="11"/>
    <n v="77041"/>
    <x v="3"/>
    <s v="TEC-AC-10001606"/>
    <x v="1"/>
    <x v="4"/>
    <x v="618"/>
    <n v="159.98400000000001"/>
    <x v="0"/>
    <x v="1"/>
    <n v="35.996400000000001"/>
    <x v="6"/>
    <x v="11"/>
    <x v="11"/>
  </r>
  <r>
    <n v="1794"/>
    <s v="CA-2014-104773"/>
    <x v="545"/>
    <d v="2014-12-13T00:00:00"/>
    <x v="1"/>
    <s v="TB-21175"/>
    <s v="Thomas Boland"/>
    <x v="0"/>
    <x v="0"/>
    <s v="Houston"/>
    <x v="11"/>
    <n v="77041"/>
    <x v="3"/>
    <s v="OFF-ST-10000777"/>
    <x v="0"/>
    <x v="2"/>
    <x v="619"/>
    <n v="60.415999999999997"/>
    <x v="0"/>
    <x v="1"/>
    <n v="6.0415999999999999"/>
    <x v="1"/>
    <x v="11"/>
    <x v="11"/>
  </r>
  <r>
    <n v="1094"/>
    <s v="CA-2015-165085"/>
    <x v="501"/>
    <d v="2015-12-31T00:00:00"/>
    <x v="1"/>
    <s v="BT-11485"/>
    <s v="Brad Thomas"/>
    <x v="1"/>
    <x v="0"/>
    <s v="Clinton"/>
    <x v="27"/>
    <n v="20735"/>
    <x v="2"/>
    <s v="OFF-PA-10000605"/>
    <x v="0"/>
    <x v="9"/>
    <x v="620"/>
    <n v="28.9"/>
    <x v="3"/>
    <x v="0"/>
    <n v="14.161"/>
    <x v="2"/>
    <x v="11"/>
    <x v="11"/>
  </r>
  <r>
    <n v="728"/>
    <s v="US-2016-150861"/>
    <x v="546"/>
    <d v="2016-12-06T00:00:00"/>
    <x v="2"/>
    <s v="EG-13900"/>
    <s v="Emily Grady"/>
    <x v="2"/>
    <x v="0"/>
    <s v="Oceanside"/>
    <x v="20"/>
    <n v="11572"/>
    <x v="2"/>
    <s v="OFF-PA-10001954"/>
    <x v="0"/>
    <x v="9"/>
    <x v="621"/>
    <n v="182.72"/>
    <x v="5"/>
    <x v="0"/>
    <n v="84.051199999999994"/>
    <x v="3"/>
    <x v="11"/>
    <x v="11"/>
  </r>
  <r>
    <n v="3320"/>
    <s v="CA-2014-134551"/>
    <x v="547"/>
    <d v="2014-12-25T00:00:00"/>
    <x v="1"/>
    <s v="TS-21505"/>
    <s v="Tony Sayre"/>
    <x v="2"/>
    <x v="0"/>
    <s v="Columbia"/>
    <x v="17"/>
    <n v="38401"/>
    <x v="0"/>
    <s v="OFF-AP-10004868"/>
    <x v="0"/>
    <x v="14"/>
    <x v="622"/>
    <n v="43.512"/>
    <x v="4"/>
    <x v="1"/>
    <n v="3.8073000000000001"/>
    <x v="1"/>
    <x v="11"/>
    <x v="11"/>
  </r>
  <r>
    <n v="76"/>
    <s v="US-2017-118038"/>
    <x v="491"/>
    <d v="2017-12-11T00:00:00"/>
    <x v="2"/>
    <s v="KB-16600"/>
    <s v="Ken Brennan"/>
    <x v="0"/>
    <x v="0"/>
    <s v="Houston"/>
    <x v="11"/>
    <n v="77041"/>
    <x v="3"/>
    <s v="OFF-BI-10004182"/>
    <x v="0"/>
    <x v="10"/>
    <x v="623"/>
    <n v="1.248"/>
    <x v="2"/>
    <x v="6"/>
    <n v="-1.9343999999999999"/>
    <x v="0"/>
    <x v="11"/>
    <x v="11"/>
  </r>
  <r>
    <n v="1895"/>
    <s v="US-2017-108063"/>
    <x v="516"/>
    <d v="2017-12-05T00:00:00"/>
    <x v="2"/>
    <s v="AS-10090"/>
    <s v="Adam Shillingsburg"/>
    <x v="2"/>
    <x v="0"/>
    <s v="Charlottesville"/>
    <x v="1"/>
    <n v="22901"/>
    <x v="0"/>
    <s v="OFF-AR-10001446"/>
    <x v="0"/>
    <x v="3"/>
    <x v="624"/>
    <n v="34.65"/>
    <x v="2"/>
    <x v="0"/>
    <n v="10.395"/>
    <x v="3"/>
    <x v="11"/>
    <x v="11"/>
  </r>
  <r>
    <n v="3244"/>
    <s v="CA-2017-113355"/>
    <x v="511"/>
    <d v="2017-12-05T00:00:00"/>
    <x v="1"/>
    <s v="SJ-20215"/>
    <s v="Sarah Jordon"/>
    <x v="2"/>
    <x v="0"/>
    <s v="Grand Prairie"/>
    <x v="11"/>
    <n v="75051"/>
    <x v="3"/>
    <s v="TEC-PH-10004912"/>
    <x v="1"/>
    <x v="7"/>
    <x v="625"/>
    <n v="219.8"/>
    <x v="3"/>
    <x v="1"/>
    <n v="24.727499999999999"/>
    <x v="2"/>
    <x v="11"/>
    <x v="11"/>
  </r>
  <r>
    <n v="1910"/>
    <s v="CA-2017-105886"/>
    <x v="548"/>
    <d v="2017-12-23T00:00:00"/>
    <x v="1"/>
    <s v="DB-13660"/>
    <s v="Duane Benoit"/>
    <x v="2"/>
    <x v="0"/>
    <s v="Oceanside"/>
    <x v="20"/>
    <n v="11572"/>
    <x v="2"/>
    <s v="FUR-FU-10001037"/>
    <x v="2"/>
    <x v="5"/>
    <x v="626"/>
    <n v="18.96"/>
    <x v="0"/>
    <x v="0"/>
    <n v="8.532"/>
    <x v="1"/>
    <x v="11"/>
    <x v="11"/>
  </r>
  <r>
    <n v="3200"/>
    <s v="CA-2017-164000"/>
    <x v="548"/>
    <d v="2017-12-22T00:00:00"/>
    <x v="1"/>
    <s v="AH-10030"/>
    <s v="Aaron Hawkins"/>
    <x v="0"/>
    <x v="0"/>
    <s v="Philadelphia"/>
    <x v="31"/>
    <n v="19134"/>
    <x v="2"/>
    <s v="OFF-AR-10003183"/>
    <x v="0"/>
    <x v="3"/>
    <x v="627"/>
    <n v="18.704000000000001"/>
    <x v="4"/>
    <x v="1"/>
    <n v="2.3380000000000001"/>
    <x v="2"/>
    <x v="11"/>
    <x v="11"/>
  </r>
  <r>
    <n v="757"/>
    <s v="CA-2014-106803"/>
    <x v="549"/>
    <d v="2015-01-02T00:00:00"/>
    <x v="1"/>
    <s v="DC-13285"/>
    <s v="Debra Catini"/>
    <x v="2"/>
    <x v="0"/>
    <s v="Cottage Grove"/>
    <x v="10"/>
    <n v="55016"/>
    <x v="3"/>
    <s v="OFF-ST-10002444"/>
    <x v="0"/>
    <x v="2"/>
    <x v="628"/>
    <n v="24.56"/>
    <x v="0"/>
    <x v="0"/>
    <n v="6.8768000000000002"/>
    <x v="2"/>
    <x v="11"/>
    <x v="11"/>
  </r>
  <r>
    <n v="471"/>
    <s v="CA-2015-154144"/>
    <x v="550"/>
    <d v="2015-12-24T00:00:00"/>
    <x v="1"/>
    <s v="MH-17785"/>
    <s v="Maya Herman"/>
    <x v="0"/>
    <x v="0"/>
    <s v="Lindenhurst"/>
    <x v="20"/>
    <n v="11757"/>
    <x v="2"/>
    <s v="OFF-PA-10004071"/>
    <x v="0"/>
    <x v="9"/>
    <x v="125"/>
    <n v="55.48"/>
    <x v="1"/>
    <x v="0"/>
    <n v="26.630400000000002"/>
    <x v="2"/>
    <x v="11"/>
    <x v="11"/>
  </r>
  <r>
    <n v="1973"/>
    <s v="CA-2014-148950"/>
    <x v="551"/>
    <d v="2014-12-19T00:00:00"/>
    <x v="1"/>
    <s v="JD-16015"/>
    <s v="Joy Daniels"/>
    <x v="2"/>
    <x v="0"/>
    <s v="Chicago"/>
    <x v="5"/>
    <n v="60610"/>
    <x v="3"/>
    <s v="OFF-BI-10001249"/>
    <x v="0"/>
    <x v="10"/>
    <x v="629"/>
    <n v="5.1040000000000001"/>
    <x v="6"/>
    <x v="6"/>
    <n v="-8.6768000000000001"/>
    <x v="1"/>
    <x v="11"/>
    <x v="11"/>
  </r>
  <r>
    <n v="1996"/>
    <s v="US-2017-147221"/>
    <x v="516"/>
    <d v="2017-12-04T00:00:00"/>
    <x v="0"/>
    <s v="JS-16030"/>
    <s v="Joy Smith"/>
    <x v="2"/>
    <x v="0"/>
    <s v="Houston"/>
    <x v="11"/>
    <n v="77036"/>
    <x v="3"/>
    <s v="OFF-AP-10002534"/>
    <x v="0"/>
    <x v="14"/>
    <x v="630"/>
    <n v="294.62"/>
    <x v="3"/>
    <x v="6"/>
    <n v="-766.01199999999994"/>
    <x v="0"/>
    <x v="11"/>
    <x v="11"/>
  </r>
  <r>
    <n v="3102"/>
    <s v="CA-2017-119578"/>
    <x v="537"/>
    <d v="2017-12-27T00:00:00"/>
    <x v="0"/>
    <s v="JG-15310"/>
    <s v="Jason Gross"/>
    <x v="0"/>
    <x v="0"/>
    <s v="Providence"/>
    <x v="35"/>
    <n v="2908"/>
    <x v="2"/>
    <s v="OFF-SU-10003505"/>
    <x v="0"/>
    <x v="16"/>
    <x v="631"/>
    <n v="695.16"/>
    <x v="7"/>
    <x v="0"/>
    <n v="34.758000000000003"/>
    <x v="1"/>
    <x v="11"/>
    <x v="11"/>
  </r>
  <r>
    <n v="9442"/>
    <s v="CA-2014-165477"/>
    <x v="549"/>
    <d v="2014-12-31T00:00:00"/>
    <x v="0"/>
    <s v="RE-19405"/>
    <s v="Ricardo Emerson"/>
    <x v="2"/>
    <x v="0"/>
    <s v="Kent"/>
    <x v="3"/>
    <n v="44240"/>
    <x v="2"/>
    <s v="OFF-AP-10003281"/>
    <x v="0"/>
    <x v="14"/>
    <x v="632"/>
    <n v="48.36"/>
    <x v="3"/>
    <x v="1"/>
    <n v="6.0449999999999999"/>
    <x v="0"/>
    <x v="11"/>
    <x v="11"/>
  </r>
  <r>
    <n v="2513"/>
    <s v="CA-2017-155089"/>
    <x v="516"/>
    <d v="2017-12-06T00:00:00"/>
    <x v="1"/>
    <s v="DB-12910"/>
    <s v="Daniel Byrd"/>
    <x v="1"/>
    <x v="0"/>
    <s v="Tampa"/>
    <x v="22"/>
    <n v="33614"/>
    <x v="0"/>
    <s v="OFF-BI-10002429"/>
    <x v="0"/>
    <x v="10"/>
    <x v="387"/>
    <n v="45.66"/>
    <x v="3"/>
    <x v="7"/>
    <n v="-33.484000000000002"/>
    <x v="2"/>
    <x v="1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C5CE71-BA72-44E2-A0BE-ACC6E5930DB9}" name="Month Wise Sales" cacheId="60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Z9:AA22" firstHeaderRow="1" firstDataRow="1" firstDataCol="1"/>
  <pivotFields count="27">
    <pivotField showAll="0"/>
    <pivotField showAll="0"/>
    <pivotField showAll="0">
      <items count="553">
        <item x="6"/>
        <item x="20"/>
        <item x="1"/>
        <item x="26"/>
        <item x="0"/>
        <item x="4"/>
        <item x="9"/>
        <item x="14"/>
        <item x="45"/>
        <item x="34"/>
        <item x="39"/>
        <item x="37"/>
        <item x="46"/>
        <item x="47"/>
        <item x="41"/>
        <item x="87"/>
        <item x="71"/>
        <item x="75"/>
        <item x="77"/>
        <item x="63"/>
        <item x="51"/>
        <item x="89"/>
        <item x="117"/>
        <item x="108"/>
        <item x="134"/>
        <item x="124"/>
        <item x="107"/>
        <item x="156"/>
        <item x="169"/>
        <item x="165"/>
        <item x="174"/>
        <item x="171"/>
        <item x="168"/>
        <item x="160"/>
        <item x="146"/>
        <item x="143"/>
        <item x="167"/>
        <item x="161"/>
        <item x="201"/>
        <item x="181"/>
        <item x="218"/>
        <item x="188"/>
        <item x="185"/>
        <item x="223"/>
        <item x="184"/>
        <item x="189"/>
        <item x="206"/>
        <item x="219"/>
        <item x="199"/>
        <item x="210"/>
        <item x="259"/>
        <item x="262"/>
        <item x="226"/>
        <item x="252"/>
        <item x="229"/>
        <item x="250"/>
        <item x="260"/>
        <item x="234"/>
        <item x="267"/>
        <item x="270"/>
        <item x="268"/>
        <item x="286"/>
        <item x="269"/>
        <item x="272"/>
        <item x="290"/>
        <item x="295"/>
        <item x="273"/>
        <item x="285"/>
        <item x="294"/>
        <item x="316"/>
        <item x="325"/>
        <item x="335"/>
        <item x="341"/>
        <item x="315"/>
        <item x="344"/>
        <item x="333"/>
        <item x="353"/>
        <item x="306"/>
        <item x="334"/>
        <item x="348"/>
        <item x="356"/>
        <item x="339"/>
        <item x="350"/>
        <item x="364"/>
        <item x="332"/>
        <item x="396"/>
        <item x="398"/>
        <item x="416"/>
        <item x="411"/>
        <item x="367"/>
        <item x="376"/>
        <item x="412"/>
        <item x="384"/>
        <item x="407"/>
        <item x="425"/>
        <item x="440"/>
        <item x="462"/>
        <item x="423"/>
        <item x="428"/>
        <item x="449"/>
        <item x="482"/>
        <item x="463"/>
        <item x="427"/>
        <item x="421"/>
        <item x="472"/>
        <item x="476"/>
        <item x="473"/>
        <item x="470"/>
        <item x="543"/>
        <item x="533"/>
        <item x="519"/>
        <item x="545"/>
        <item x="534"/>
        <item x="542"/>
        <item x="551"/>
        <item x="504"/>
        <item x="535"/>
        <item x="529"/>
        <item x="547"/>
        <item x="520"/>
        <item x="513"/>
        <item x="544"/>
        <item x="538"/>
        <item x="549"/>
        <item x="12"/>
        <item x="22"/>
        <item x="18"/>
        <item x="50"/>
        <item x="35"/>
        <item x="32"/>
        <item x="36"/>
        <item x="82"/>
        <item x="55"/>
        <item x="54"/>
        <item x="76"/>
        <item x="57"/>
        <item x="84"/>
        <item x="53"/>
        <item x="52"/>
        <item x="93"/>
        <item x="64"/>
        <item x="132"/>
        <item x="113"/>
        <item x="128"/>
        <item x="118"/>
        <item x="115"/>
        <item x="101"/>
        <item x="116"/>
        <item x="127"/>
        <item x="141"/>
        <item x="98"/>
        <item x="121"/>
        <item x="105"/>
        <item x="135"/>
        <item x="176"/>
        <item x="151"/>
        <item x="154"/>
        <item x="178"/>
        <item x="166"/>
        <item x="212"/>
        <item x="195"/>
        <item x="203"/>
        <item x="190"/>
        <item x="222"/>
        <item x="215"/>
        <item x="246"/>
        <item x="230"/>
        <item x="231"/>
        <item x="245"/>
        <item x="240"/>
        <item x="247"/>
        <item x="232"/>
        <item x="277"/>
        <item x="297"/>
        <item x="288"/>
        <item x="298"/>
        <item x="292"/>
        <item x="266"/>
        <item x="300"/>
        <item x="327"/>
        <item x="314"/>
        <item x="347"/>
        <item x="310"/>
        <item x="322"/>
        <item x="359"/>
        <item x="337"/>
        <item x="320"/>
        <item x="361"/>
        <item x="362"/>
        <item x="303"/>
        <item x="357"/>
        <item x="302"/>
        <item x="321"/>
        <item x="308"/>
        <item x="401"/>
        <item x="379"/>
        <item x="409"/>
        <item x="391"/>
        <item x="383"/>
        <item x="390"/>
        <item x="410"/>
        <item x="399"/>
        <item x="382"/>
        <item x="365"/>
        <item x="394"/>
        <item x="484"/>
        <item x="471"/>
        <item x="481"/>
        <item x="459"/>
        <item x="485"/>
        <item x="480"/>
        <item x="477"/>
        <item x="456"/>
        <item x="435"/>
        <item x="460"/>
        <item x="445"/>
        <item x="458"/>
        <item x="426"/>
        <item x="453"/>
        <item x="465"/>
        <item x="424"/>
        <item x="469"/>
        <item x="536"/>
        <item x="527"/>
        <item x="506"/>
        <item x="497"/>
        <item x="518"/>
        <item x="541"/>
        <item x="539"/>
        <item x="532"/>
        <item x="523"/>
        <item x="493"/>
        <item x="498"/>
        <item x="550"/>
        <item x="492"/>
        <item x="502"/>
        <item x="509"/>
        <item x="501"/>
        <item x="531"/>
        <item x="524"/>
        <item x="5"/>
        <item x="16"/>
        <item x="17"/>
        <item x="11"/>
        <item x="23"/>
        <item x="40"/>
        <item x="28"/>
        <item x="33"/>
        <item x="31"/>
        <item x="49"/>
        <item x="61"/>
        <item x="60"/>
        <item x="83"/>
        <item x="86"/>
        <item x="59"/>
        <item x="67"/>
        <item x="92"/>
        <item x="91"/>
        <item x="65"/>
        <item x="58"/>
        <item x="56"/>
        <item x="70"/>
        <item x="94"/>
        <item x="129"/>
        <item x="100"/>
        <item x="110"/>
        <item x="130"/>
        <item x="112"/>
        <item x="106"/>
        <item x="96"/>
        <item x="140"/>
        <item x="122"/>
        <item x="99"/>
        <item x="109"/>
        <item x="95"/>
        <item x="97"/>
        <item x="139"/>
        <item x="103"/>
        <item x="123"/>
        <item x="145"/>
        <item x="173"/>
        <item x="153"/>
        <item x="158"/>
        <item x="179"/>
        <item x="159"/>
        <item x="157"/>
        <item x="164"/>
        <item x="170"/>
        <item x="155"/>
        <item x="172"/>
        <item x="163"/>
        <item x="175"/>
        <item x="162"/>
        <item x="183"/>
        <item x="208"/>
        <item x="214"/>
        <item x="200"/>
        <item x="209"/>
        <item x="186"/>
        <item x="216"/>
        <item x="187"/>
        <item x="192"/>
        <item x="180"/>
        <item x="258"/>
        <item x="254"/>
        <item x="248"/>
        <item x="225"/>
        <item x="244"/>
        <item x="257"/>
        <item x="241"/>
        <item x="235"/>
        <item x="243"/>
        <item x="249"/>
        <item x="263"/>
        <item x="256"/>
        <item x="293"/>
        <item x="280"/>
        <item x="265"/>
        <item x="299"/>
        <item x="271"/>
        <item x="289"/>
        <item x="281"/>
        <item x="282"/>
        <item x="276"/>
        <item x="275"/>
        <item x="291"/>
        <item x="351"/>
        <item x="345"/>
        <item x="311"/>
        <item x="342"/>
        <item x="323"/>
        <item x="307"/>
        <item x="363"/>
        <item x="352"/>
        <item x="312"/>
        <item x="317"/>
        <item x="329"/>
        <item x="301"/>
        <item x="355"/>
        <item x="309"/>
        <item x="370"/>
        <item x="385"/>
        <item x="393"/>
        <item x="414"/>
        <item x="372"/>
        <item x="392"/>
        <item x="369"/>
        <item x="388"/>
        <item x="404"/>
        <item x="400"/>
        <item x="381"/>
        <item x="403"/>
        <item x="438"/>
        <item x="436"/>
        <item x="434"/>
        <item x="448"/>
        <item x="464"/>
        <item x="429"/>
        <item x="432"/>
        <item x="474"/>
        <item x="437"/>
        <item x="433"/>
        <item x="487"/>
        <item x="450"/>
        <item x="420"/>
        <item x="439"/>
        <item x="478"/>
        <item x="466"/>
        <item x="444"/>
        <item x="467"/>
        <item x="475"/>
        <item x="451"/>
        <item x="525"/>
        <item x="546"/>
        <item x="512"/>
        <item x="500"/>
        <item x="514"/>
        <item x="508"/>
        <item x="496"/>
        <item x="507"/>
        <item x="495"/>
        <item x="505"/>
        <item x="494"/>
        <item x="13"/>
        <item x="21"/>
        <item x="8"/>
        <item x="15"/>
        <item x="10"/>
        <item x="2"/>
        <item x="25"/>
        <item x="7"/>
        <item x="3"/>
        <item x="19"/>
        <item x="24"/>
        <item x="27"/>
        <item x="42"/>
        <item x="44"/>
        <item x="38"/>
        <item x="48"/>
        <item x="29"/>
        <item x="30"/>
        <item x="43"/>
        <item x="69"/>
        <item x="80"/>
        <item x="74"/>
        <item x="78"/>
        <item x="90"/>
        <item x="85"/>
        <item x="79"/>
        <item x="81"/>
        <item x="62"/>
        <item x="88"/>
        <item x="72"/>
        <item x="68"/>
        <item x="66"/>
        <item x="73"/>
        <item x="131"/>
        <item x="102"/>
        <item x="133"/>
        <item x="111"/>
        <item x="114"/>
        <item x="119"/>
        <item x="126"/>
        <item x="142"/>
        <item x="137"/>
        <item x="125"/>
        <item x="120"/>
        <item x="104"/>
        <item x="136"/>
        <item x="138"/>
        <item x="149"/>
        <item x="147"/>
        <item x="152"/>
        <item x="144"/>
        <item x="148"/>
        <item x="150"/>
        <item x="177"/>
        <item x="191"/>
        <item x="205"/>
        <item x="221"/>
        <item x="202"/>
        <item x="182"/>
        <item x="211"/>
        <item x="194"/>
        <item x="217"/>
        <item x="220"/>
        <item x="198"/>
        <item x="197"/>
        <item x="196"/>
        <item x="213"/>
        <item x="207"/>
        <item x="193"/>
        <item x="204"/>
        <item x="236"/>
        <item x="253"/>
        <item x="224"/>
        <item x="238"/>
        <item x="237"/>
        <item x="261"/>
        <item x="228"/>
        <item x="242"/>
        <item x="233"/>
        <item x="255"/>
        <item x="227"/>
        <item x="251"/>
        <item x="239"/>
        <item x="264"/>
        <item x="284"/>
        <item x="274"/>
        <item x="283"/>
        <item x="279"/>
        <item x="296"/>
        <item x="278"/>
        <item x="287"/>
        <item x="328"/>
        <item x="343"/>
        <item x="304"/>
        <item x="360"/>
        <item x="313"/>
        <item x="349"/>
        <item x="319"/>
        <item x="331"/>
        <item x="305"/>
        <item x="358"/>
        <item x="336"/>
        <item x="340"/>
        <item x="318"/>
        <item x="324"/>
        <item x="326"/>
        <item x="338"/>
        <item x="330"/>
        <item x="346"/>
        <item x="354"/>
        <item x="368"/>
        <item x="375"/>
        <item x="378"/>
        <item x="406"/>
        <item x="371"/>
        <item x="408"/>
        <item x="387"/>
        <item x="380"/>
        <item x="386"/>
        <item x="413"/>
        <item x="415"/>
        <item x="395"/>
        <item x="366"/>
        <item x="374"/>
        <item x="377"/>
        <item x="389"/>
        <item x="405"/>
        <item x="373"/>
        <item x="402"/>
        <item x="397"/>
        <item x="443"/>
        <item x="455"/>
        <item x="418"/>
        <item x="419"/>
        <item x="446"/>
        <item x="447"/>
        <item x="483"/>
        <item x="454"/>
        <item x="441"/>
        <item x="431"/>
        <item x="461"/>
        <item x="468"/>
        <item x="430"/>
        <item x="452"/>
        <item x="479"/>
        <item x="457"/>
        <item x="422"/>
        <item x="417"/>
        <item x="442"/>
        <item x="486"/>
        <item x="511"/>
        <item x="516"/>
        <item x="530"/>
        <item x="540"/>
        <item x="510"/>
        <item x="528"/>
        <item x="491"/>
        <item x="489"/>
        <item x="499"/>
        <item x="522"/>
        <item x="521"/>
        <item x="548"/>
        <item x="488"/>
        <item x="517"/>
        <item x="537"/>
        <item x="515"/>
        <item x="526"/>
        <item x="490"/>
        <item x="503"/>
        <item t="default"/>
      </items>
    </pivotField>
    <pivotField showAll="0"/>
    <pivotField showAll="0">
      <items count="5">
        <item x="2"/>
        <item x="3"/>
        <item x="0"/>
        <item x="1"/>
        <item t="default"/>
      </items>
    </pivotField>
    <pivotField showAll="0"/>
    <pivotField showAll="0"/>
    <pivotField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4"/>
  </rowFields>
  <rowItems count="13">
    <i>
      <x/>
    </i>
    <i>
      <x v="1"/>
    </i>
    <i>
      <x v="2"/>
    </i>
    <i>
      <x v="3"/>
    </i>
    <i>
      <x v="4"/>
    </i>
    <i>
      <x v="5"/>
    </i>
    <i>
      <x v="6"/>
    </i>
    <i>
      <x v="7"/>
    </i>
    <i>
      <x v="8"/>
    </i>
    <i>
      <x v="9"/>
    </i>
    <i>
      <x v="10"/>
    </i>
    <i>
      <x v="11"/>
    </i>
    <i t="grand">
      <x/>
    </i>
  </rowItems>
  <colItems count="1">
    <i/>
  </colItems>
  <dataFields count="1">
    <dataField name="Sum of Sales" fld="17" baseField="0" baseItem="0" numFmtId="170"/>
  </dataFields>
  <formats count="3">
    <format dxfId="2">
      <pivotArea grandRow="1" outline="0" collapsedLevelsAreSubtotals="1" fieldPosition="0"/>
    </format>
    <format dxfId="1">
      <pivotArea collapsedLevelsAreSubtotals="1" fieldPosition="0">
        <references count="1">
          <reference field="24" count="12">
            <x v="0"/>
            <x v="1"/>
            <x v="2"/>
            <x v="3"/>
            <x v="4"/>
            <x v="5"/>
            <x v="6"/>
            <x v="7"/>
            <x v="8"/>
            <x v="9"/>
            <x v="10"/>
            <x v="11"/>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D9A773-4CD5-482D-A5F8-FED27647E361}" name="Category Analysis" cacheId="60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D10:F14" firstHeaderRow="0" firstDataRow="1" firstDataCol="1"/>
  <pivotFields count="27">
    <pivotField showAll="0"/>
    <pivotField showAll="0"/>
    <pivotField showAll="0">
      <items count="553">
        <item x="6"/>
        <item x="20"/>
        <item x="1"/>
        <item x="26"/>
        <item x="0"/>
        <item x="4"/>
        <item x="9"/>
        <item x="14"/>
        <item x="45"/>
        <item x="34"/>
        <item x="39"/>
        <item x="37"/>
        <item x="46"/>
        <item x="47"/>
        <item x="41"/>
        <item x="87"/>
        <item x="71"/>
        <item x="75"/>
        <item x="77"/>
        <item x="63"/>
        <item x="51"/>
        <item x="89"/>
        <item x="117"/>
        <item x="108"/>
        <item x="134"/>
        <item x="124"/>
        <item x="107"/>
        <item x="156"/>
        <item x="169"/>
        <item x="165"/>
        <item x="174"/>
        <item x="171"/>
        <item x="168"/>
        <item x="160"/>
        <item x="146"/>
        <item x="143"/>
        <item x="167"/>
        <item x="161"/>
        <item x="201"/>
        <item x="181"/>
        <item x="218"/>
        <item x="188"/>
        <item x="185"/>
        <item x="223"/>
        <item x="184"/>
        <item x="189"/>
        <item x="206"/>
        <item x="219"/>
        <item x="199"/>
        <item x="210"/>
        <item x="259"/>
        <item x="262"/>
        <item x="226"/>
        <item x="252"/>
        <item x="229"/>
        <item x="250"/>
        <item x="260"/>
        <item x="234"/>
        <item x="267"/>
        <item x="270"/>
        <item x="268"/>
        <item x="286"/>
        <item x="269"/>
        <item x="272"/>
        <item x="290"/>
        <item x="295"/>
        <item x="273"/>
        <item x="285"/>
        <item x="294"/>
        <item x="316"/>
        <item x="325"/>
        <item x="335"/>
        <item x="341"/>
        <item x="315"/>
        <item x="344"/>
        <item x="333"/>
        <item x="353"/>
        <item x="306"/>
        <item x="334"/>
        <item x="348"/>
        <item x="356"/>
        <item x="339"/>
        <item x="350"/>
        <item x="364"/>
        <item x="332"/>
        <item x="396"/>
        <item x="398"/>
        <item x="416"/>
        <item x="411"/>
        <item x="367"/>
        <item x="376"/>
        <item x="412"/>
        <item x="384"/>
        <item x="407"/>
        <item x="425"/>
        <item x="440"/>
        <item x="462"/>
        <item x="423"/>
        <item x="428"/>
        <item x="449"/>
        <item x="482"/>
        <item x="463"/>
        <item x="427"/>
        <item x="421"/>
        <item x="472"/>
        <item x="476"/>
        <item x="473"/>
        <item x="470"/>
        <item x="543"/>
        <item x="533"/>
        <item x="519"/>
        <item x="545"/>
        <item x="534"/>
        <item x="542"/>
        <item x="551"/>
        <item x="504"/>
        <item x="535"/>
        <item x="529"/>
        <item x="547"/>
        <item x="520"/>
        <item x="513"/>
        <item x="544"/>
        <item x="538"/>
        <item x="549"/>
        <item x="12"/>
        <item x="22"/>
        <item x="18"/>
        <item x="50"/>
        <item x="35"/>
        <item x="32"/>
        <item x="36"/>
        <item x="82"/>
        <item x="55"/>
        <item x="54"/>
        <item x="76"/>
        <item x="57"/>
        <item x="84"/>
        <item x="53"/>
        <item x="52"/>
        <item x="93"/>
        <item x="64"/>
        <item x="132"/>
        <item x="113"/>
        <item x="128"/>
        <item x="118"/>
        <item x="115"/>
        <item x="101"/>
        <item x="116"/>
        <item x="127"/>
        <item x="141"/>
        <item x="98"/>
        <item x="121"/>
        <item x="105"/>
        <item x="135"/>
        <item x="176"/>
        <item x="151"/>
        <item x="154"/>
        <item x="178"/>
        <item x="166"/>
        <item x="212"/>
        <item x="195"/>
        <item x="203"/>
        <item x="190"/>
        <item x="222"/>
        <item x="215"/>
        <item x="246"/>
        <item x="230"/>
        <item x="231"/>
        <item x="245"/>
        <item x="240"/>
        <item x="247"/>
        <item x="232"/>
        <item x="277"/>
        <item x="297"/>
        <item x="288"/>
        <item x="298"/>
        <item x="292"/>
        <item x="266"/>
        <item x="300"/>
        <item x="327"/>
        <item x="314"/>
        <item x="347"/>
        <item x="310"/>
        <item x="322"/>
        <item x="359"/>
        <item x="337"/>
        <item x="320"/>
        <item x="361"/>
        <item x="362"/>
        <item x="303"/>
        <item x="357"/>
        <item x="302"/>
        <item x="321"/>
        <item x="308"/>
        <item x="401"/>
        <item x="379"/>
        <item x="409"/>
        <item x="391"/>
        <item x="383"/>
        <item x="390"/>
        <item x="410"/>
        <item x="399"/>
        <item x="382"/>
        <item x="365"/>
        <item x="394"/>
        <item x="484"/>
        <item x="471"/>
        <item x="481"/>
        <item x="459"/>
        <item x="485"/>
        <item x="480"/>
        <item x="477"/>
        <item x="456"/>
        <item x="435"/>
        <item x="460"/>
        <item x="445"/>
        <item x="458"/>
        <item x="426"/>
        <item x="453"/>
        <item x="465"/>
        <item x="424"/>
        <item x="469"/>
        <item x="536"/>
        <item x="527"/>
        <item x="506"/>
        <item x="497"/>
        <item x="518"/>
        <item x="541"/>
        <item x="539"/>
        <item x="532"/>
        <item x="523"/>
        <item x="493"/>
        <item x="498"/>
        <item x="550"/>
        <item x="492"/>
        <item x="502"/>
        <item x="509"/>
        <item x="501"/>
        <item x="531"/>
        <item x="524"/>
        <item x="5"/>
        <item x="16"/>
        <item x="17"/>
        <item x="11"/>
        <item x="23"/>
        <item x="40"/>
        <item x="28"/>
        <item x="33"/>
        <item x="31"/>
        <item x="49"/>
        <item x="61"/>
        <item x="60"/>
        <item x="83"/>
        <item x="86"/>
        <item x="59"/>
        <item x="67"/>
        <item x="92"/>
        <item x="91"/>
        <item x="65"/>
        <item x="58"/>
        <item x="56"/>
        <item x="70"/>
        <item x="94"/>
        <item x="129"/>
        <item x="100"/>
        <item x="110"/>
        <item x="130"/>
        <item x="112"/>
        <item x="106"/>
        <item x="96"/>
        <item x="140"/>
        <item x="122"/>
        <item x="99"/>
        <item x="109"/>
        <item x="95"/>
        <item x="97"/>
        <item x="139"/>
        <item x="103"/>
        <item x="123"/>
        <item x="145"/>
        <item x="173"/>
        <item x="153"/>
        <item x="158"/>
        <item x="179"/>
        <item x="159"/>
        <item x="157"/>
        <item x="164"/>
        <item x="170"/>
        <item x="155"/>
        <item x="172"/>
        <item x="163"/>
        <item x="175"/>
        <item x="162"/>
        <item x="183"/>
        <item x="208"/>
        <item x="214"/>
        <item x="200"/>
        <item x="209"/>
        <item x="186"/>
        <item x="216"/>
        <item x="187"/>
        <item x="192"/>
        <item x="180"/>
        <item x="258"/>
        <item x="254"/>
        <item x="248"/>
        <item x="225"/>
        <item x="244"/>
        <item x="257"/>
        <item x="241"/>
        <item x="235"/>
        <item x="243"/>
        <item x="249"/>
        <item x="263"/>
        <item x="256"/>
        <item x="293"/>
        <item x="280"/>
        <item x="265"/>
        <item x="299"/>
        <item x="271"/>
        <item x="289"/>
        <item x="281"/>
        <item x="282"/>
        <item x="276"/>
        <item x="275"/>
        <item x="291"/>
        <item x="351"/>
        <item x="345"/>
        <item x="311"/>
        <item x="342"/>
        <item x="323"/>
        <item x="307"/>
        <item x="363"/>
        <item x="352"/>
        <item x="312"/>
        <item x="317"/>
        <item x="329"/>
        <item x="301"/>
        <item x="355"/>
        <item x="309"/>
        <item x="370"/>
        <item x="385"/>
        <item x="393"/>
        <item x="414"/>
        <item x="372"/>
        <item x="392"/>
        <item x="369"/>
        <item x="388"/>
        <item x="404"/>
        <item x="400"/>
        <item x="381"/>
        <item x="403"/>
        <item x="438"/>
        <item x="436"/>
        <item x="434"/>
        <item x="448"/>
        <item x="464"/>
        <item x="429"/>
        <item x="432"/>
        <item x="474"/>
        <item x="437"/>
        <item x="433"/>
        <item x="487"/>
        <item x="450"/>
        <item x="420"/>
        <item x="439"/>
        <item x="478"/>
        <item x="466"/>
        <item x="444"/>
        <item x="467"/>
        <item x="475"/>
        <item x="451"/>
        <item x="525"/>
        <item x="546"/>
        <item x="512"/>
        <item x="500"/>
        <item x="514"/>
        <item x="508"/>
        <item x="496"/>
        <item x="507"/>
        <item x="495"/>
        <item x="505"/>
        <item x="494"/>
        <item x="13"/>
        <item x="21"/>
        <item x="8"/>
        <item x="15"/>
        <item x="10"/>
        <item x="2"/>
        <item x="25"/>
        <item x="7"/>
        <item x="3"/>
        <item x="19"/>
        <item x="24"/>
        <item x="27"/>
        <item x="42"/>
        <item x="44"/>
        <item x="38"/>
        <item x="48"/>
        <item x="29"/>
        <item x="30"/>
        <item x="43"/>
        <item x="69"/>
        <item x="80"/>
        <item x="74"/>
        <item x="78"/>
        <item x="90"/>
        <item x="85"/>
        <item x="79"/>
        <item x="81"/>
        <item x="62"/>
        <item x="88"/>
        <item x="72"/>
        <item x="68"/>
        <item x="66"/>
        <item x="73"/>
        <item x="131"/>
        <item x="102"/>
        <item x="133"/>
        <item x="111"/>
        <item x="114"/>
        <item x="119"/>
        <item x="126"/>
        <item x="142"/>
        <item x="137"/>
        <item x="125"/>
        <item x="120"/>
        <item x="104"/>
        <item x="136"/>
        <item x="138"/>
        <item x="149"/>
        <item x="147"/>
        <item x="152"/>
        <item x="144"/>
        <item x="148"/>
        <item x="150"/>
        <item x="177"/>
        <item x="191"/>
        <item x="205"/>
        <item x="221"/>
        <item x="202"/>
        <item x="182"/>
        <item x="211"/>
        <item x="194"/>
        <item x="217"/>
        <item x="220"/>
        <item x="198"/>
        <item x="197"/>
        <item x="196"/>
        <item x="213"/>
        <item x="207"/>
        <item x="193"/>
        <item x="204"/>
        <item x="236"/>
        <item x="253"/>
        <item x="224"/>
        <item x="238"/>
        <item x="237"/>
        <item x="261"/>
        <item x="228"/>
        <item x="242"/>
        <item x="233"/>
        <item x="255"/>
        <item x="227"/>
        <item x="251"/>
        <item x="239"/>
        <item x="264"/>
        <item x="284"/>
        <item x="274"/>
        <item x="283"/>
        <item x="279"/>
        <item x="296"/>
        <item x="278"/>
        <item x="287"/>
        <item x="328"/>
        <item x="343"/>
        <item x="304"/>
        <item x="360"/>
        <item x="313"/>
        <item x="349"/>
        <item x="319"/>
        <item x="331"/>
        <item x="305"/>
        <item x="358"/>
        <item x="336"/>
        <item x="340"/>
        <item x="318"/>
        <item x="324"/>
        <item x="326"/>
        <item x="338"/>
        <item x="330"/>
        <item x="346"/>
        <item x="354"/>
        <item x="368"/>
        <item x="375"/>
        <item x="378"/>
        <item x="406"/>
        <item x="371"/>
        <item x="408"/>
        <item x="387"/>
        <item x="380"/>
        <item x="386"/>
        <item x="413"/>
        <item x="415"/>
        <item x="395"/>
        <item x="366"/>
        <item x="374"/>
        <item x="377"/>
        <item x="389"/>
        <item x="405"/>
        <item x="373"/>
        <item x="402"/>
        <item x="397"/>
        <item x="443"/>
        <item x="455"/>
        <item x="418"/>
        <item x="419"/>
        <item x="446"/>
        <item x="447"/>
        <item x="483"/>
        <item x="454"/>
        <item x="441"/>
        <item x="431"/>
        <item x="461"/>
        <item x="468"/>
        <item x="430"/>
        <item x="452"/>
        <item x="479"/>
        <item x="457"/>
        <item x="422"/>
        <item x="417"/>
        <item x="442"/>
        <item x="486"/>
        <item x="511"/>
        <item x="516"/>
        <item x="530"/>
        <item x="540"/>
        <item x="510"/>
        <item x="528"/>
        <item x="491"/>
        <item x="489"/>
        <item x="499"/>
        <item x="522"/>
        <item x="521"/>
        <item x="548"/>
        <item x="488"/>
        <item x="517"/>
        <item x="537"/>
        <item x="515"/>
        <item x="526"/>
        <item x="490"/>
        <item x="503"/>
        <item t="default"/>
      </items>
    </pivotField>
    <pivotField showAll="0"/>
    <pivotField showAll="0">
      <items count="5">
        <item x="2"/>
        <item x="3"/>
        <item x="0"/>
        <item x="1"/>
        <item t="default"/>
      </items>
    </pivotField>
    <pivotField showAll="0"/>
    <pivotField showAll="0"/>
    <pivotField showAll="0">
      <items count="4">
        <item x="2"/>
        <item x="0"/>
        <item x="1"/>
        <item t="default"/>
      </items>
    </pivotField>
    <pivotField showAll="0"/>
    <pivotField showAll="0"/>
    <pivotField showAll="0"/>
    <pivotField showAll="0"/>
    <pivotField showAll="0">
      <items count="5">
        <item x="3"/>
        <item x="2"/>
        <item x="0"/>
        <item x="1"/>
        <item t="default"/>
      </items>
    </pivotField>
    <pivotField showAll="0"/>
    <pivotField axis="axisRow" showAll="0" sortType="ascending">
      <items count="4">
        <item x="2"/>
        <item x="0"/>
        <item x="1"/>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numFmtId="164"/>
    <dataField name="Sum of Profit" fld="20" baseField="0" baseItem="0"/>
  </dataFields>
  <formats count="4">
    <format dxfId="6">
      <pivotArea outline="0" collapsedLevelsAreSubtotals="1" fieldPosition="0">
        <references count="1">
          <reference field="4294967294" count="1" selected="0">
            <x v="0"/>
          </reference>
        </references>
      </pivotArea>
    </format>
    <format dxfId="5">
      <pivotArea outline="0" collapsedLevelsAreSubtotals="1" fieldPosition="0"/>
    </format>
    <format dxfId="4">
      <pivotArea collapsedLevelsAreSubtotals="1" fieldPosition="0">
        <references count="1">
          <reference field="14" count="0"/>
        </references>
      </pivotArea>
    </format>
    <format dxfId="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7294BA-8D6A-48CD-AC30-6DA4C824E0CC}" name="Sales By Product" cacheId="60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H9:AI643" firstHeaderRow="1" firstDataRow="1" firstDataCol="1"/>
  <pivotFields count="27">
    <pivotField showAll="0"/>
    <pivotField showAll="0"/>
    <pivotField showAll="0">
      <items count="553">
        <item x="6"/>
        <item x="20"/>
        <item x="1"/>
        <item x="26"/>
        <item x="0"/>
        <item x="4"/>
        <item x="9"/>
        <item x="14"/>
        <item x="45"/>
        <item x="34"/>
        <item x="39"/>
        <item x="37"/>
        <item x="46"/>
        <item x="47"/>
        <item x="41"/>
        <item x="87"/>
        <item x="71"/>
        <item x="75"/>
        <item x="77"/>
        <item x="63"/>
        <item x="51"/>
        <item x="89"/>
        <item x="117"/>
        <item x="108"/>
        <item x="134"/>
        <item x="124"/>
        <item x="107"/>
        <item x="156"/>
        <item x="169"/>
        <item x="165"/>
        <item x="174"/>
        <item x="171"/>
        <item x="168"/>
        <item x="160"/>
        <item x="146"/>
        <item x="143"/>
        <item x="167"/>
        <item x="161"/>
        <item x="201"/>
        <item x="181"/>
        <item x="218"/>
        <item x="188"/>
        <item x="185"/>
        <item x="223"/>
        <item x="184"/>
        <item x="189"/>
        <item x="206"/>
        <item x="219"/>
        <item x="199"/>
        <item x="210"/>
        <item x="259"/>
        <item x="262"/>
        <item x="226"/>
        <item x="252"/>
        <item x="229"/>
        <item x="250"/>
        <item x="260"/>
        <item x="234"/>
        <item x="267"/>
        <item x="270"/>
        <item x="268"/>
        <item x="286"/>
        <item x="269"/>
        <item x="272"/>
        <item x="290"/>
        <item x="295"/>
        <item x="273"/>
        <item x="285"/>
        <item x="294"/>
        <item x="316"/>
        <item x="325"/>
        <item x="335"/>
        <item x="341"/>
        <item x="315"/>
        <item x="344"/>
        <item x="333"/>
        <item x="353"/>
        <item x="306"/>
        <item x="334"/>
        <item x="348"/>
        <item x="356"/>
        <item x="339"/>
        <item x="350"/>
        <item x="364"/>
        <item x="332"/>
        <item x="396"/>
        <item x="398"/>
        <item x="416"/>
        <item x="411"/>
        <item x="367"/>
        <item x="376"/>
        <item x="412"/>
        <item x="384"/>
        <item x="407"/>
        <item x="425"/>
        <item x="440"/>
        <item x="462"/>
        <item x="423"/>
        <item x="428"/>
        <item x="449"/>
        <item x="482"/>
        <item x="463"/>
        <item x="427"/>
        <item x="421"/>
        <item x="472"/>
        <item x="476"/>
        <item x="473"/>
        <item x="470"/>
        <item x="543"/>
        <item x="533"/>
        <item x="519"/>
        <item x="545"/>
        <item x="534"/>
        <item x="542"/>
        <item x="551"/>
        <item x="504"/>
        <item x="535"/>
        <item x="529"/>
        <item x="547"/>
        <item x="520"/>
        <item x="513"/>
        <item x="544"/>
        <item x="538"/>
        <item x="549"/>
        <item x="12"/>
        <item x="22"/>
        <item x="18"/>
        <item x="50"/>
        <item x="35"/>
        <item x="32"/>
        <item x="36"/>
        <item x="82"/>
        <item x="55"/>
        <item x="54"/>
        <item x="76"/>
        <item x="57"/>
        <item x="84"/>
        <item x="53"/>
        <item x="52"/>
        <item x="93"/>
        <item x="64"/>
        <item x="132"/>
        <item x="113"/>
        <item x="128"/>
        <item x="118"/>
        <item x="115"/>
        <item x="101"/>
        <item x="116"/>
        <item x="127"/>
        <item x="141"/>
        <item x="98"/>
        <item x="121"/>
        <item x="105"/>
        <item x="135"/>
        <item x="176"/>
        <item x="151"/>
        <item x="154"/>
        <item x="178"/>
        <item x="166"/>
        <item x="212"/>
        <item x="195"/>
        <item x="203"/>
        <item x="190"/>
        <item x="222"/>
        <item x="215"/>
        <item x="246"/>
        <item x="230"/>
        <item x="231"/>
        <item x="245"/>
        <item x="240"/>
        <item x="247"/>
        <item x="232"/>
        <item x="277"/>
        <item x="297"/>
        <item x="288"/>
        <item x="298"/>
        <item x="292"/>
        <item x="266"/>
        <item x="300"/>
        <item x="327"/>
        <item x="314"/>
        <item x="347"/>
        <item x="310"/>
        <item x="322"/>
        <item x="359"/>
        <item x="337"/>
        <item x="320"/>
        <item x="361"/>
        <item x="362"/>
        <item x="303"/>
        <item x="357"/>
        <item x="302"/>
        <item x="321"/>
        <item x="308"/>
        <item x="401"/>
        <item x="379"/>
        <item x="409"/>
        <item x="391"/>
        <item x="383"/>
        <item x="390"/>
        <item x="410"/>
        <item x="399"/>
        <item x="382"/>
        <item x="365"/>
        <item x="394"/>
        <item x="484"/>
        <item x="471"/>
        <item x="481"/>
        <item x="459"/>
        <item x="485"/>
        <item x="480"/>
        <item x="477"/>
        <item x="456"/>
        <item x="435"/>
        <item x="460"/>
        <item x="445"/>
        <item x="458"/>
        <item x="426"/>
        <item x="453"/>
        <item x="465"/>
        <item x="424"/>
        <item x="469"/>
        <item x="536"/>
        <item x="527"/>
        <item x="506"/>
        <item x="497"/>
        <item x="518"/>
        <item x="541"/>
        <item x="539"/>
        <item x="532"/>
        <item x="523"/>
        <item x="493"/>
        <item x="498"/>
        <item x="550"/>
        <item x="492"/>
        <item x="502"/>
        <item x="509"/>
        <item x="501"/>
        <item x="531"/>
        <item x="524"/>
        <item x="5"/>
        <item x="16"/>
        <item x="17"/>
        <item x="11"/>
        <item x="23"/>
        <item x="40"/>
        <item x="28"/>
        <item x="33"/>
        <item x="31"/>
        <item x="49"/>
        <item x="61"/>
        <item x="60"/>
        <item x="83"/>
        <item x="86"/>
        <item x="59"/>
        <item x="67"/>
        <item x="92"/>
        <item x="91"/>
        <item x="65"/>
        <item x="58"/>
        <item x="56"/>
        <item x="70"/>
        <item x="94"/>
        <item x="129"/>
        <item x="100"/>
        <item x="110"/>
        <item x="130"/>
        <item x="112"/>
        <item x="106"/>
        <item x="96"/>
        <item x="140"/>
        <item x="122"/>
        <item x="99"/>
        <item x="109"/>
        <item x="95"/>
        <item x="97"/>
        <item x="139"/>
        <item x="103"/>
        <item x="123"/>
        <item x="145"/>
        <item x="173"/>
        <item x="153"/>
        <item x="158"/>
        <item x="179"/>
        <item x="159"/>
        <item x="157"/>
        <item x="164"/>
        <item x="170"/>
        <item x="155"/>
        <item x="172"/>
        <item x="163"/>
        <item x="175"/>
        <item x="162"/>
        <item x="183"/>
        <item x="208"/>
        <item x="214"/>
        <item x="200"/>
        <item x="209"/>
        <item x="186"/>
        <item x="216"/>
        <item x="187"/>
        <item x="192"/>
        <item x="180"/>
        <item x="258"/>
        <item x="254"/>
        <item x="248"/>
        <item x="225"/>
        <item x="244"/>
        <item x="257"/>
        <item x="241"/>
        <item x="235"/>
        <item x="243"/>
        <item x="249"/>
        <item x="263"/>
        <item x="256"/>
        <item x="293"/>
        <item x="280"/>
        <item x="265"/>
        <item x="299"/>
        <item x="271"/>
        <item x="289"/>
        <item x="281"/>
        <item x="282"/>
        <item x="276"/>
        <item x="275"/>
        <item x="291"/>
        <item x="351"/>
        <item x="345"/>
        <item x="311"/>
        <item x="342"/>
        <item x="323"/>
        <item x="307"/>
        <item x="363"/>
        <item x="352"/>
        <item x="312"/>
        <item x="317"/>
        <item x="329"/>
        <item x="301"/>
        <item x="355"/>
        <item x="309"/>
        <item x="370"/>
        <item x="385"/>
        <item x="393"/>
        <item x="414"/>
        <item x="372"/>
        <item x="392"/>
        <item x="369"/>
        <item x="388"/>
        <item x="404"/>
        <item x="400"/>
        <item x="381"/>
        <item x="403"/>
        <item x="438"/>
        <item x="436"/>
        <item x="434"/>
        <item x="448"/>
        <item x="464"/>
        <item x="429"/>
        <item x="432"/>
        <item x="474"/>
        <item x="437"/>
        <item x="433"/>
        <item x="487"/>
        <item x="450"/>
        <item x="420"/>
        <item x="439"/>
        <item x="478"/>
        <item x="466"/>
        <item x="444"/>
        <item x="467"/>
        <item x="475"/>
        <item x="451"/>
        <item x="525"/>
        <item x="546"/>
        <item x="512"/>
        <item x="500"/>
        <item x="514"/>
        <item x="508"/>
        <item x="496"/>
        <item x="507"/>
        <item x="495"/>
        <item x="505"/>
        <item x="494"/>
        <item x="13"/>
        <item x="21"/>
        <item x="8"/>
        <item x="15"/>
        <item x="10"/>
        <item x="2"/>
        <item x="25"/>
        <item x="7"/>
        <item x="3"/>
        <item x="19"/>
        <item x="24"/>
        <item x="27"/>
        <item x="42"/>
        <item x="44"/>
        <item x="38"/>
        <item x="48"/>
        <item x="29"/>
        <item x="30"/>
        <item x="43"/>
        <item x="69"/>
        <item x="80"/>
        <item x="74"/>
        <item x="78"/>
        <item x="90"/>
        <item x="85"/>
        <item x="79"/>
        <item x="81"/>
        <item x="62"/>
        <item x="88"/>
        <item x="72"/>
        <item x="68"/>
        <item x="66"/>
        <item x="73"/>
        <item x="131"/>
        <item x="102"/>
        <item x="133"/>
        <item x="111"/>
        <item x="114"/>
        <item x="119"/>
        <item x="126"/>
        <item x="142"/>
        <item x="137"/>
        <item x="125"/>
        <item x="120"/>
        <item x="104"/>
        <item x="136"/>
        <item x="138"/>
        <item x="149"/>
        <item x="147"/>
        <item x="152"/>
        <item x="144"/>
        <item x="148"/>
        <item x="150"/>
        <item x="177"/>
        <item x="191"/>
        <item x="205"/>
        <item x="221"/>
        <item x="202"/>
        <item x="182"/>
        <item x="211"/>
        <item x="194"/>
        <item x="217"/>
        <item x="220"/>
        <item x="198"/>
        <item x="197"/>
        <item x="196"/>
        <item x="213"/>
        <item x="207"/>
        <item x="193"/>
        <item x="204"/>
        <item x="236"/>
        <item x="253"/>
        <item x="224"/>
        <item x="238"/>
        <item x="237"/>
        <item x="261"/>
        <item x="228"/>
        <item x="242"/>
        <item x="233"/>
        <item x="255"/>
        <item x="227"/>
        <item x="251"/>
        <item x="239"/>
        <item x="264"/>
        <item x="284"/>
        <item x="274"/>
        <item x="283"/>
        <item x="279"/>
        <item x="296"/>
        <item x="278"/>
        <item x="287"/>
        <item x="328"/>
        <item x="343"/>
        <item x="304"/>
        <item x="360"/>
        <item x="313"/>
        <item x="349"/>
        <item x="319"/>
        <item x="331"/>
        <item x="305"/>
        <item x="358"/>
        <item x="336"/>
        <item x="340"/>
        <item x="318"/>
        <item x="324"/>
        <item x="326"/>
        <item x="338"/>
        <item x="330"/>
        <item x="346"/>
        <item x="354"/>
        <item x="368"/>
        <item x="375"/>
        <item x="378"/>
        <item x="406"/>
        <item x="371"/>
        <item x="408"/>
        <item x="387"/>
        <item x="380"/>
        <item x="386"/>
        <item x="413"/>
        <item x="415"/>
        <item x="395"/>
        <item x="366"/>
        <item x="374"/>
        <item x="377"/>
        <item x="389"/>
        <item x="405"/>
        <item x="373"/>
        <item x="402"/>
        <item x="397"/>
        <item x="443"/>
        <item x="455"/>
        <item x="418"/>
        <item x="419"/>
        <item x="446"/>
        <item x="447"/>
        <item x="483"/>
        <item x="454"/>
        <item x="441"/>
        <item x="431"/>
        <item x="461"/>
        <item x="468"/>
        <item x="430"/>
        <item x="452"/>
        <item x="479"/>
        <item x="457"/>
        <item x="422"/>
        <item x="417"/>
        <item x="442"/>
        <item x="486"/>
        <item x="511"/>
        <item x="516"/>
        <item x="530"/>
        <item x="540"/>
        <item x="510"/>
        <item x="528"/>
        <item x="491"/>
        <item x="489"/>
        <item x="499"/>
        <item x="522"/>
        <item x="521"/>
        <item x="548"/>
        <item x="488"/>
        <item x="517"/>
        <item x="537"/>
        <item x="515"/>
        <item x="526"/>
        <item x="490"/>
        <item x="503"/>
        <item t="default"/>
      </items>
    </pivotField>
    <pivotField showAll="0"/>
    <pivotField showAll="0">
      <items count="5">
        <item x="2"/>
        <item x="3"/>
        <item x="0"/>
        <item x="1"/>
        <item t="default"/>
      </items>
    </pivotField>
    <pivotField showAll="0"/>
    <pivotField showAll="0"/>
    <pivotField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axis="axisRow" showAll="0" sortType="descending">
      <items count="634">
        <item x="399"/>
        <item x="566"/>
        <item x="229"/>
        <item x="134"/>
        <item x="446"/>
        <item x="170"/>
        <item x="630"/>
        <item x="182"/>
        <item x="514"/>
        <item x="242"/>
        <item x="274"/>
        <item x="500"/>
        <item x="334"/>
        <item x="355"/>
        <item x="137"/>
        <item x="184"/>
        <item x="69"/>
        <item x="632"/>
        <item x="131"/>
        <item x="294"/>
        <item x="578"/>
        <item x="151"/>
        <item x="439"/>
        <item x="96"/>
        <item x="54"/>
        <item x="372"/>
        <item x="336"/>
        <item x="542"/>
        <item x="300"/>
        <item x="283"/>
        <item x="234"/>
        <item x="327"/>
        <item x="311"/>
        <item x="390"/>
        <item x="519"/>
        <item x="373"/>
        <item x="509"/>
        <item x="599"/>
        <item x="558"/>
        <item x="360"/>
        <item x="59"/>
        <item x="551"/>
        <item x="614"/>
        <item x="550"/>
        <item x="476"/>
        <item x="575"/>
        <item x="203"/>
        <item x="444"/>
        <item x="227"/>
        <item x="415"/>
        <item x="258"/>
        <item x="604"/>
        <item x="161"/>
        <item x="28"/>
        <item x="143"/>
        <item x="512"/>
        <item x="460"/>
        <item x="568"/>
        <item x="228"/>
        <item x="341"/>
        <item x="106"/>
        <item x="527"/>
        <item x="99"/>
        <item x="342"/>
        <item x="465"/>
        <item x="458"/>
        <item x="245"/>
        <item x="1"/>
        <item x="407"/>
        <item x="271"/>
        <item x="521"/>
        <item x="312"/>
        <item x="347"/>
        <item x="459"/>
        <item x="12"/>
        <item x="6"/>
        <item x="450"/>
        <item x="546"/>
        <item x="488"/>
        <item x="406"/>
        <item x="601"/>
        <item x="358"/>
        <item x="410"/>
        <item x="525"/>
        <item x="474"/>
        <item x="627"/>
        <item x="475"/>
        <item x="629"/>
        <item x="317"/>
        <item x="528"/>
        <item x="485"/>
        <item x="462"/>
        <item x="26"/>
        <item x="8"/>
        <item x="331"/>
        <item x="243"/>
        <item x="93"/>
        <item x="382"/>
        <item x="81"/>
        <item x="124"/>
        <item x="91"/>
        <item x="165"/>
        <item x="586"/>
        <item x="142"/>
        <item x="343"/>
        <item x="544"/>
        <item x="547"/>
        <item x="262"/>
        <item x="114"/>
        <item x="553"/>
        <item x="378"/>
        <item x="62"/>
        <item x="297"/>
        <item x="157"/>
        <item x="166"/>
        <item x="442"/>
        <item x="510"/>
        <item x="478"/>
        <item x="393"/>
        <item x="169"/>
        <item x="313"/>
        <item x="230"/>
        <item x="218"/>
        <item x="39"/>
        <item x="239"/>
        <item x="513"/>
        <item x="60"/>
        <item x="223"/>
        <item x="443"/>
        <item x="192"/>
        <item x="25"/>
        <item x="290"/>
        <item x="576"/>
        <item x="41"/>
        <item x="2"/>
        <item x="381"/>
        <item x="430"/>
        <item x="64"/>
        <item x="21"/>
        <item x="523"/>
        <item x="238"/>
        <item x="298"/>
        <item x="625"/>
        <item x="574"/>
        <item x="188"/>
        <item x="580"/>
        <item x="419"/>
        <item x="83"/>
        <item x="118"/>
        <item x="504"/>
        <item x="213"/>
        <item x="619"/>
        <item x="171"/>
        <item x="349"/>
        <item x="545"/>
        <item x="473"/>
        <item x="212"/>
        <item x="626"/>
        <item x="115"/>
        <item x="326"/>
        <item x="5"/>
        <item x="27"/>
        <item x="533"/>
        <item x="421"/>
        <item x="359"/>
        <item x="289"/>
        <item x="370"/>
        <item x="426"/>
        <item x="222"/>
        <item x="232"/>
        <item x="120"/>
        <item x="126"/>
        <item x="529"/>
        <item x="610"/>
        <item x="235"/>
        <item x="125"/>
        <item x="363"/>
        <item x="623"/>
        <item x="277"/>
        <item x="482"/>
        <item x="441"/>
        <item x="231"/>
        <item x="275"/>
        <item x="244"/>
        <item x="305"/>
        <item x="23"/>
        <item x="526"/>
        <item x="136"/>
        <item x="191"/>
        <item x="145"/>
        <item x="246"/>
        <item x="588"/>
        <item x="417"/>
        <item x="496"/>
        <item x="174"/>
        <item x="11"/>
        <item x="140"/>
        <item x="112"/>
        <item x="107"/>
        <item x="198"/>
        <item x="190"/>
        <item x="45"/>
        <item x="409"/>
        <item x="226"/>
        <item x="572"/>
        <item x="615"/>
        <item x="563"/>
        <item x="567"/>
        <item x="479"/>
        <item x="490"/>
        <item x="87"/>
        <item x="30"/>
        <item x="472"/>
        <item x="159"/>
        <item x="187"/>
        <item x="386"/>
        <item x="175"/>
        <item x="43"/>
        <item x="22"/>
        <item x="61"/>
        <item x="520"/>
        <item x="178"/>
        <item x="555"/>
        <item x="571"/>
        <item x="194"/>
        <item x="309"/>
        <item x="329"/>
        <item x="483"/>
        <item x="499"/>
        <item x="536"/>
        <item x="268"/>
        <item x="333"/>
        <item x="224"/>
        <item x="139"/>
        <item x="316"/>
        <item x="433"/>
        <item x="431"/>
        <item x="405"/>
        <item x="388"/>
        <item x="273"/>
        <item x="292"/>
        <item x="585"/>
        <item x="367"/>
        <item x="105"/>
        <item x="38"/>
        <item x="240"/>
        <item x="266"/>
        <item x="323"/>
        <item x="202"/>
        <item x="306"/>
        <item x="470"/>
        <item x="579"/>
        <item x="364"/>
        <item x="565"/>
        <item x="263"/>
        <item x="346"/>
        <item x="85"/>
        <item x="452"/>
        <item x="95"/>
        <item x="280"/>
        <item x="47"/>
        <item x="447"/>
        <item x="48"/>
        <item x="241"/>
        <item x="556"/>
        <item x="37"/>
        <item x="484"/>
        <item x="77"/>
        <item x="135"/>
        <item x="489"/>
        <item x="397"/>
        <item x="147"/>
        <item x="494"/>
        <item x="164"/>
        <item x="56"/>
        <item x="299"/>
        <item x="495"/>
        <item x="344"/>
        <item x="183"/>
        <item x="108"/>
        <item x="307"/>
        <item x="132"/>
        <item x="113"/>
        <item x="498"/>
        <item x="180"/>
        <item x="63"/>
        <item x="464"/>
        <item x="154"/>
        <item x="335"/>
        <item x="612"/>
        <item x="279"/>
        <item x="548"/>
        <item x="86"/>
        <item x="622"/>
        <item x="82"/>
        <item x="127"/>
        <item x="80"/>
        <item x="79"/>
        <item x="480"/>
        <item x="582"/>
        <item x="570"/>
        <item x="384"/>
        <item x="264"/>
        <item x="205"/>
        <item x="583"/>
        <item x="491"/>
        <item x="451"/>
        <item x="75"/>
        <item x="40"/>
        <item x="256"/>
        <item x="97"/>
        <item x="101"/>
        <item x="193"/>
        <item x="207"/>
        <item x="16"/>
        <item x="471"/>
        <item x="89"/>
        <item x="34"/>
        <item x="144"/>
        <item x="557"/>
        <item x="437"/>
        <item x="50"/>
        <item x="356"/>
        <item x="173"/>
        <item x="44"/>
        <item x="376"/>
        <item x="369"/>
        <item x="538"/>
        <item x="186"/>
        <item x="123"/>
        <item x="116"/>
        <item x="423"/>
        <item x="420"/>
        <item x="595"/>
        <item x="168"/>
        <item x="602"/>
        <item x="348"/>
        <item x="543"/>
        <item x="606"/>
        <item x="14"/>
        <item x="4"/>
        <item x="181"/>
        <item x="58"/>
        <item x="76"/>
        <item x="340"/>
        <item x="20"/>
        <item x="456"/>
        <item x="506"/>
        <item x="618"/>
        <item x="436"/>
        <item x="429"/>
        <item x="535"/>
        <item x="411"/>
        <item x="209"/>
        <item x="469"/>
        <item x="590"/>
        <item x="413"/>
        <item x="318"/>
        <item x="400"/>
        <item x="584"/>
        <item x="402"/>
        <item x="109"/>
        <item x="46"/>
        <item x="31"/>
        <item x="365"/>
        <item x="73"/>
        <item x="503"/>
        <item x="560"/>
        <item x="36"/>
        <item x="524"/>
        <item x="352"/>
        <item x="250"/>
        <item x="534"/>
        <item x="282"/>
        <item x="425"/>
        <item x="573"/>
        <item x="102"/>
        <item x="65"/>
        <item x="167"/>
        <item x="304"/>
        <item x="624"/>
        <item x="561"/>
        <item x="7"/>
        <item x="3"/>
        <item x="68"/>
        <item x="577"/>
        <item x="155"/>
        <item x="148"/>
        <item x="255"/>
        <item x="581"/>
        <item x="391"/>
        <item x="487"/>
        <item x="515"/>
        <item x="293"/>
        <item x="321"/>
        <item x="98"/>
        <item x="554"/>
        <item x="328"/>
        <item x="383"/>
        <item x="103"/>
        <item x="517"/>
        <item x="325"/>
        <item x="314"/>
        <item x="377"/>
        <item x="611"/>
        <item x="122"/>
        <item x="141"/>
        <item x="163"/>
        <item x="448"/>
        <item x="285"/>
        <item x="320"/>
        <item x="267"/>
        <item x="463"/>
        <item x="150"/>
        <item x="371"/>
        <item x="522"/>
        <item x="396"/>
        <item x="308"/>
        <item x="338"/>
        <item x="368"/>
        <item x="236"/>
        <item x="467"/>
        <item x="172"/>
        <item x="100"/>
        <item x="361"/>
        <item x="564"/>
        <item x="531"/>
        <item x="398"/>
        <item x="416"/>
        <item x="287"/>
        <item x="295"/>
        <item x="350"/>
        <item x="152"/>
        <item x="457"/>
        <item x="330"/>
        <item x="104"/>
        <item x="66"/>
        <item x="270"/>
        <item x="461"/>
        <item x="403"/>
        <item x="549"/>
        <item x="591"/>
        <item x="434"/>
        <item x="72"/>
        <item x="201"/>
        <item x="138"/>
        <item x="319"/>
        <item x="631"/>
        <item x="387"/>
        <item x="324"/>
        <item x="303"/>
        <item x="296"/>
        <item x="357"/>
        <item x="486"/>
        <item x="259"/>
        <item x="276"/>
        <item x="254"/>
        <item x="219"/>
        <item x="616"/>
        <item x="13"/>
        <item x="628"/>
        <item x="9"/>
        <item x="257"/>
        <item x="541"/>
        <item x="362"/>
        <item x="57"/>
        <item x="455"/>
        <item x="502"/>
        <item x="404"/>
        <item x="55"/>
        <item x="401"/>
        <item x="432"/>
        <item x="559"/>
        <item x="176"/>
        <item x="508"/>
        <item x="539"/>
        <item x="468"/>
        <item x="133"/>
        <item x="428"/>
        <item x="149"/>
        <item x="33"/>
        <item x="315"/>
        <item x="130"/>
        <item x="587"/>
        <item x="339"/>
        <item x="422"/>
        <item x="603"/>
        <item x="117"/>
        <item x="418"/>
        <item x="15"/>
        <item x="52"/>
        <item x="247"/>
        <item x="281"/>
        <item x="438"/>
        <item x="466"/>
        <item x="345"/>
        <item x="92"/>
        <item x="208"/>
        <item x="78"/>
        <item x="204"/>
        <item x="248"/>
        <item x="253"/>
        <item x="197"/>
        <item x="501"/>
        <item x="196"/>
        <item x="518"/>
        <item x="225"/>
        <item x="435"/>
        <item x="592"/>
        <item x="206"/>
        <item x="153"/>
        <item x="596"/>
        <item x="0"/>
        <item x="593"/>
        <item x="215"/>
        <item x="110"/>
        <item x="617"/>
        <item x="35"/>
        <item x="10"/>
        <item x="291"/>
        <item x="516"/>
        <item x="395"/>
        <item x="609"/>
        <item x="511"/>
        <item x="162"/>
        <item x="497"/>
        <item x="530"/>
        <item x="389"/>
        <item x="414"/>
        <item x="607"/>
        <item x="493"/>
        <item x="608"/>
        <item x="569"/>
        <item x="74"/>
        <item x="453"/>
        <item x="261"/>
        <item x="49"/>
        <item x="214"/>
        <item x="286"/>
        <item x="220"/>
        <item x="322"/>
        <item x="288"/>
        <item x="251"/>
        <item x="353"/>
        <item x="537"/>
        <item x="156"/>
        <item x="589"/>
        <item x="53"/>
        <item x="507"/>
        <item x="195"/>
        <item x="380"/>
        <item x="440"/>
        <item x="160"/>
        <item x="302"/>
        <item x="424"/>
        <item x="179"/>
        <item x="540"/>
        <item x="332"/>
        <item x="427"/>
        <item x="233"/>
        <item x="18"/>
        <item x="252"/>
        <item x="272"/>
        <item x="310"/>
        <item x="278"/>
        <item x="42"/>
        <item x="119"/>
        <item x="260"/>
        <item x="552"/>
        <item x="301"/>
        <item x="237"/>
        <item x="613"/>
        <item x="121"/>
        <item x="189"/>
        <item x="216"/>
        <item x="70"/>
        <item x="111"/>
        <item x="84"/>
        <item x="129"/>
        <item x="351"/>
        <item x="594"/>
        <item x="128"/>
        <item x="211"/>
        <item x="269"/>
        <item x="394"/>
        <item x="392"/>
        <item x="177"/>
        <item x="505"/>
        <item x="29"/>
        <item x="385"/>
        <item x="200"/>
        <item x="562"/>
        <item x="199"/>
        <item x="284"/>
        <item x="221"/>
        <item x="337"/>
        <item x="24"/>
        <item x="445"/>
        <item x="620"/>
        <item x="51"/>
        <item x="210"/>
        <item x="32"/>
        <item x="408"/>
        <item x="621"/>
        <item x="185"/>
        <item x="158"/>
        <item x="412"/>
        <item x="605"/>
        <item x="94"/>
        <item x="67"/>
        <item x="379"/>
        <item x="146"/>
        <item x="449"/>
        <item x="217"/>
        <item x="19"/>
        <item x="17"/>
        <item x="366"/>
        <item x="249"/>
        <item x="90"/>
        <item x="481"/>
        <item x="597"/>
        <item x="598"/>
        <item x="374"/>
        <item x="88"/>
        <item x="600"/>
        <item x="354"/>
        <item x="477"/>
        <item x="532"/>
        <item x="375"/>
        <item x="454"/>
        <item x="492"/>
        <item x="71"/>
        <item x="26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634">
    <i>
      <x v="128"/>
    </i>
    <i>
      <x v="155"/>
    </i>
    <i>
      <x v="55"/>
    </i>
    <i>
      <x v="464"/>
    </i>
    <i>
      <x v="258"/>
    </i>
    <i>
      <x v="336"/>
    </i>
    <i>
      <x v="121"/>
    </i>
    <i>
      <x v="56"/>
    </i>
    <i>
      <x v="221"/>
    </i>
    <i>
      <x v="145"/>
    </i>
    <i>
      <x v="235"/>
    </i>
    <i>
      <x v="296"/>
    </i>
    <i>
      <x v="495"/>
    </i>
    <i>
      <x v="102"/>
    </i>
    <i>
      <x v="253"/>
    </i>
    <i>
      <x v="63"/>
    </i>
    <i>
      <x v="410"/>
    </i>
    <i>
      <x v="423"/>
    </i>
    <i>
      <x v="280"/>
    </i>
    <i>
      <x v="569"/>
    </i>
    <i>
      <x v="344"/>
    </i>
    <i>
      <x v="144"/>
    </i>
    <i>
      <x v="135"/>
    </i>
    <i>
      <x v="290"/>
    </i>
    <i>
      <x v="471"/>
    </i>
    <i>
      <x v="219"/>
    </i>
    <i>
      <x v="139"/>
    </i>
    <i>
      <x v="279"/>
    </i>
    <i>
      <x v="439"/>
    </i>
    <i>
      <x v="285"/>
    </i>
    <i>
      <x v="237"/>
    </i>
    <i>
      <x v="477"/>
    </i>
    <i>
      <x v="480"/>
    </i>
    <i>
      <x v="287"/>
    </i>
    <i>
      <x v="304"/>
    </i>
    <i>
      <x v="479"/>
    </i>
    <i>
      <x v="106"/>
    </i>
    <i>
      <x v="103"/>
    </i>
    <i>
      <x v="222"/>
    </i>
    <i>
      <x v="323"/>
    </i>
    <i>
      <x v="127"/>
    </i>
    <i>
      <x v="233"/>
    </i>
    <i>
      <x v="262"/>
    </i>
    <i>
      <x v="137"/>
    </i>
    <i>
      <x v="64"/>
    </i>
    <i>
      <x v="234"/>
    </i>
    <i>
      <x v="93"/>
    </i>
    <i>
      <x v="288"/>
    </i>
    <i>
      <x v="141"/>
    </i>
    <i>
      <x v="201"/>
    </i>
    <i>
      <x v="129"/>
    </i>
    <i>
      <x v="486"/>
    </i>
    <i>
      <x v="150"/>
    </i>
    <i>
      <x v="440"/>
    </i>
    <i>
      <x v="281"/>
    </i>
    <i>
      <x v="225"/>
    </i>
    <i>
      <x v="292"/>
    </i>
    <i>
      <x v="260"/>
    </i>
    <i>
      <x v="289"/>
    </i>
    <i>
      <x v="123"/>
    </i>
    <i>
      <x v="286"/>
    </i>
    <i>
      <x v="38"/>
    </i>
    <i>
      <x v="374"/>
    </i>
    <i>
      <x v="270"/>
    </i>
    <i>
      <x v="138"/>
    </i>
    <i>
      <x v="447"/>
    </i>
    <i>
      <x v="183"/>
    </i>
    <i>
      <x v="298"/>
    </i>
    <i>
      <x v="257"/>
    </i>
    <i>
      <x v="523"/>
    </i>
    <i>
      <x v="434"/>
    </i>
    <i>
      <x v="490"/>
    </i>
    <i>
      <x v="98"/>
    </i>
    <i>
      <x v="497"/>
    </i>
    <i>
      <x v="295"/>
    </i>
    <i>
      <x v="264"/>
    </i>
    <i>
      <x v="320"/>
    </i>
    <i>
      <x v="405"/>
    </i>
    <i>
      <x v="108"/>
    </i>
    <i>
      <x v="458"/>
    </i>
    <i>
      <x v="124"/>
    </i>
    <i>
      <x v="551"/>
    </i>
    <i>
      <x v="220"/>
    </i>
    <i>
      <x v="473"/>
    </i>
    <i>
      <x v="273"/>
    </i>
    <i>
      <x v="406"/>
    </i>
    <i>
      <x v="277"/>
    </i>
    <i>
      <x v="469"/>
    </i>
    <i>
      <x v="275"/>
    </i>
    <i>
      <x v="61"/>
    </i>
    <i>
      <x v="284"/>
    </i>
    <i>
      <x v="441"/>
    </i>
    <i>
      <x v="335"/>
    </i>
    <i>
      <x v="379"/>
    </i>
    <i>
      <x v="274"/>
    </i>
    <i>
      <x v="499"/>
    </i>
    <i>
      <x v="433"/>
    </i>
    <i>
      <x v="404"/>
    </i>
    <i>
      <x v="413"/>
    </i>
    <i>
      <x v="501"/>
    </i>
    <i>
      <x v="271"/>
    </i>
    <i>
      <x v="407"/>
    </i>
    <i>
      <x v="92"/>
    </i>
    <i>
      <x v="62"/>
    </i>
    <i>
      <x v="104"/>
    </i>
    <i>
      <x v="412"/>
    </i>
    <i>
      <x v="487"/>
    </i>
    <i>
      <x v="196"/>
    </i>
    <i>
      <x v="291"/>
    </i>
    <i>
      <x v="143"/>
    </i>
    <i>
      <x v="329"/>
    </i>
    <i>
      <x v="310"/>
    </i>
    <i>
      <x v="95"/>
    </i>
    <i>
      <x v="409"/>
    </i>
    <i>
      <x v="414"/>
    </i>
    <i>
      <x v="338"/>
    </i>
    <i>
      <x v="218"/>
    </i>
    <i>
      <x v="312"/>
    </i>
    <i>
      <x v="349"/>
    </i>
    <i>
      <x v="308"/>
    </i>
    <i>
      <x v="245"/>
    </i>
    <i>
      <x v="311"/>
    </i>
    <i>
      <x v="178"/>
    </i>
    <i>
      <x v="595"/>
    </i>
    <i>
      <x v="140"/>
    </i>
    <i>
      <x v="377"/>
    </i>
    <i>
      <x v="346"/>
    </i>
    <i>
      <x v="272"/>
    </i>
    <i>
      <x v="376"/>
    </i>
    <i>
      <x v="200"/>
    </i>
    <i>
      <x v="224"/>
    </i>
    <i>
      <x v="265"/>
    </i>
    <i>
      <x v="266"/>
    </i>
    <i>
      <x v="299"/>
    </i>
    <i>
      <x v="119"/>
    </i>
    <i>
      <x v="6"/>
    </i>
    <i>
      <x v="12"/>
    </i>
    <i>
      <x v="489"/>
    </i>
    <i>
      <x v="544"/>
    </i>
    <i>
      <x v="136"/>
    </i>
    <i>
      <x v="114"/>
    </i>
    <i>
      <x v="263"/>
    </i>
    <i>
      <x v="585"/>
    </i>
    <i>
      <x v="340"/>
    </i>
    <i>
      <x v="107"/>
    </i>
    <i>
      <x v="97"/>
    </i>
    <i>
      <x v="125"/>
    </i>
    <i>
      <x v="314"/>
    </i>
    <i>
      <x v="411"/>
    </i>
    <i>
      <x v="435"/>
    </i>
    <i>
      <x v="13"/>
    </i>
    <i>
      <x v="261"/>
    </i>
    <i>
      <x v="185"/>
    </i>
    <i>
      <x v="251"/>
    </i>
    <i>
      <x v="428"/>
    </i>
    <i>
      <x v="532"/>
    </i>
    <i>
      <x v="134"/>
    </i>
    <i>
      <x v="457"/>
    </i>
    <i>
      <x v="345"/>
    </i>
    <i>
      <x v="347"/>
    </i>
    <i>
      <x v="165"/>
    </i>
    <i>
      <x v="415"/>
    </i>
    <i>
      <x v="142"/>
    </i>
    <i>
      <x v="120"/>
    </i>
    <i>
      <x v="207"/>
    </i>
    <i>
      <x v="332"/>
    </i>
    <i>
      <x v="538"/>
    </i>
    <i>
      <x v="2"/>
    </i>
    <i>
      <x v="326"/>
    </i>
    <i>
      <x v="174"/>
    </i>
    <i>
      <x v="300"/>
    </i>
    <i>
      <x v="352"/>
    </i>
    <i>
      <x v="303"/>
    </i>
    <i>
      <x v="454"/>
    </i>
    <i>
      <x v="322"/>
    </i>
    <i>
      <x v="482"/>
    </i>
    <i>
      <x v="254"/>
    </i>
    <i>
      <x v="173"/>
    </i>
    <i>
      <x v="419"/>
    </i>
    <i>
      <x v="422"/>
    </i>
    <i>
      <x v="259"/>
    </i>
    <i>
      <x v="474"/>
    </i>
    <i>
      <x v="243"/>
    </i>
    <i>
      <x v="603"/>
    </i>
    <i>
      <x v="59"/>
    </i>
    <i>
      <x v="481"/>
    </i>
    <i>
      <x v="23"/>
    </i>
    <i>
      <x v="334"/>
    </i>
    <i>
      <x v="420"/>
    </i>
    <i>
      <x v="330"/>
    </i>
    <i>
      <x v="580"/>
    </i>
    <i>
      <x v="589"/>
    </i>
    <i>
      <x v="65"/>
    </i>
    <i>
      <x v="94"/>
    </i>
    <i>
      <x v="459"/>
    </i>
    <i>
      <x v="348"/>
    </i>
    <i>
      <x v="628"/>
    </i>
    <i>
      <x v="96"/>
    </i>
    <i>
      <x v="596"/>
    </i>
    <i>
      <x v="547"/>
    </i>
    <i>
      <x v="227"/>
    </i>
    <i>
      <x v="206"/>
    </i>
    <i>
      <x v="186"/>
    </i>
    <i>
      <x v="166"/>
    </i>
    <i>
      <x v="126"/>
    </i>
    <i>
      <x v="424"/>
    </i>
    <i>
      <x v="536"/>
    </i>
    <i>
      <x v="105"/>
    </i>
    <i>
      <x v="373"/>
    </i>
    <i>
      <x v="324"/>
    </i>
    <i>
      <x v="587"/>
    </i>
    <i>
      <x v="11"/>
    </i>
    <i>
      <x v="172"/>
    </i>
    <i>
      <x v="317"/>
    </i>
    <i>
      <x v="46"/>
    </i>
    <i>
      <x v="429"/>
    </i>
    <i>
      <x v="436"/>
    </i>
    <i>
      <x v="494"/>
    </i>
    <i>
      <x v="386"/>
    </i>
    <i>
      <x v="212"/>
    </i>
    <i>
      <x v="365"/>
    </i>
    <i>
      <x v="115"/>
    </i>
    <i>
      <x v="210"/>
    </i>
    <i>
      <x v="370"/>
    </i>
    <i>
      <x v="453"/>
    </i>
    <i>
      <x v="362"/>
    </i>
    <i>
      <x v="375"/>
    </i>
    <i>
      <x v="540"/>
    </i>
    <i>
      <x v="1"/>
    </i>
    <i>
      <x v="594"/>
    </i>
    <i>
      <x v="3"/>
    </i>
    <i>
      <x v="369"/>
    </i>
    <i>
      <x v="190"/>
    </i>
    <i>
      <x v="530"/>
    </i>
    <i>
      <x v="175"/>
    </i>
    <i>
      <x v="321"/>
    </i>
    <i>
      <x v="53"/>
    </i>
    <i>
      <x v="342"/>
    </i>
    <i>
      <x v="522"/>
    </i>
    <i>
      <x v="353"/>
    </i>
    <i>
      <x v="357"/>
    </i>
    <i>
      <x v="476"/>
    </i>
    <i>
      <x v="249"/>
    </i>
    <i>
      <x v="393"/>
    </i>
    <i>
      <x v="602"/>
    </i>
    <i>
      <x v="113"/>
    </i>
    <i>
      <x v="408"/>
    </i>
    <i>
      <x v="18"/>
    </i>
    <i>
      <x v="101"/>
    </i>
    <i>
      <x v="122"/>
    </i>
    <i>
      <x v="319"/>
    </i>
    <i>
      <x v="39"/>
    </i>
    <i>
      <x v="502"/>
    </i>
    <i>
      <x v="493"/>
    </i>
    <i>
      <x v="268"/>
    </i>
    <i>
      <x v="66"/>
    </i>
    <i>
      <x v="557"/>
    </i>
    <i>
      <x v="609"/>
    </i>
    <i>
      <x v="309"/>
    </i>
    <i>
      <x v="496"/>
    </i>
    <i>
      <x v="250"/>
    </i>
    <i>
      <x v="448"/>
    </i>
    <i>
      <x v="421"/>
    </i>
    <i>
      <x v="578"/>
    </i>
    <i>
      <x v="431"/>
    </i>
    <i>
      <x v="164"/>
    </i>
    <i>
      <x v="361"/>
    </i>
    <i>
      <x v="307"/>
    </i>
    <i>
      <x v="216"/>
    </i>
    <i>
      <x v="527"/>
    </i>
    <i>
      <x v="531"/>
    </i>
    <i>
      <x v="306"/>
    </i>
    <i>
      <x v="244"/>
    </i>
    <i>
      <x v="301"/>
    </i>
    <i>
      <x v="60"/>
    </i>
    <i>
      <x v="269"/>
    </i>
    <i>
      <x v="133"/>
    </i>
    <i>
      <x v="524"/>
    </i>
    <i>
      <x v="223"/>
    </i>
    <i>
      <x v="372"/>
    </i>
    <i>
      <x v="586"/>
    </i>
    <i>
      <x v="545"/>
    </i>
    <i>
      <x v="215"/>
    </i>
    <i>
      <x v="184"/>
    </i>
    <i>
      <x v="282"/>
    </i>
    <i>
      <x v="229"/>
    </i>
    <i>
      <x v="209"/>
    </i>
    <i>
      <x v="226"/>
    </i>
    <i>
      <x v="305"/>
    </i>
    <i>
      <x v="542"/>
    </i>
    <i>
      <x v="278"/>
    </i>
    <i>
      <x v="599"/>
    </i>
    <i>
      <x v="570"/>
    </i>
    <i>
      <x v="16"/>
    </i>
    <i>
      <x v="402"/>
    </i>
    <i>
      <x v="475"/>
    </i>
    <i>
      <x v="202"/>
    </i>
    <i>
      <x v="363"/>
    </i>
    <i>
      <x v="378"/>
    </i>
    <i>
      <x v="283"/>
    </i>
    <i>
      <x v="242"/>
    </i>
    <i>
      <x v="328"/>
    </i>
    <i>
      <x v="199"/>
    </i>
    <i>
      <x v="341"/>
    </i>
    <i>
      <x v="205"/>
    </i>
    <i>
      <x v="383"/>
    </i>
    <i>
      <x v="512"/>
    </i>
    <i>
      <x v="88"/>
    </i>
    <i>
      <x v="582"/>
    </i>
    <i>
      <x v="160"/>
    </i>
    <i>
      <x v="368"/>
    </i>
    <i>
      <x v="19"/>
    </i>
    <i>
      <x v="488"/>
    </i>
    <i>
      <x v="47"/>
    </i>
    <i>
      <x v="116"/>
    </i>
    <i>
      <x v="151"/>
    </i>
    <i>
      <x v="187"/>
    </i>
    <i>
      <x v="248"/>
    </i>
    <i>
      <x v="399"/>
    </i>
    <i>
      <x v="519"/>
    </i>
    <i>
      <x v="366"/>
    </i>
    <i>
      <x v="504"/>
    </i>
    <i>
      <x v="236"/>
    </i>
    <i>
      <x v="276"/>
    </i>
    <i>
      <x v="461"/>
    </i>
    <i>
      <x v="130"/>
    </i>
    <i>
      <x v="554"/>
    </i>
    <i>
      <x v="117"/>
    </i>
    <i>
      <x v="189"/>
    </i>
    <i>
      <x v="48"/>
    </i>
    <i>
      <x v="333"/>
    </i>
    <i>
      <x v="118"/>
    </i>
    <i>
      <x v="325"/>
    </i>
    <i>
      <x v="27"/>
    </i>
    <i>
      <x v="618"/>
    </i>
    <i>
      <x v="539"/>
    </i>
    <i>
      <x v="507"/>
    </i>
    <i>
      <x v="517"/>
    </i>
    <i>
      <x v="367"/>
    </i>
    <i>
      <x v="180"/>
    </i>
    <i>
      <x v="4"/>
    </i>
    <i>
      <x v="194"/>
    </i>
    <i>
      <x v="343"/>
    </i>
    <i>
      <x v="339"/>
    </i>
    <i>
      <x v="267"/>
    </i>
    <i>
      <x v="214"/>
    </i>
    <i>
      <x v="573"/>
    </i>
    <i>
      <x v="17"/>
    </i>
    <i>
      <x v="21"/>
    </i>
    <i>
      <x v="528"/>
    </i>
    <i>
      <x v="58"/>
    </i>
    <i>
      <x v="534"/>
    </i>
    <i>
      <x v="162"/>
    </i>
    <i>
      <x v="163"/>
    </i>
    <i>
      <x v="147"/>
    </i>
    <i>
      <x v="240"/>
    </i>
    <i>
      <x v="28"/>
    </i>
    <i>
      <x v="232"/>
    </i>
    <i>
      <x v="99"/>
    </i>
    <i>
      <x v="313"/>
    </i>
    <i>
      <x v="73"/>
    </i>
    <i>
      <x v="293"/>
    </i>
    <i>
      <x v="297"/>
    </i>
    <i>
      <x v="478"/>
    </i>
    <i>
      <x v="149"/>
    </i>
    <i>
      <x v="355"/>
    </i>
    <i>
      <x v="500"/>
    </i>
    <i>
      <x v="90"/>
    </i>
    <i>
      <x v="394"/>
    </i>
    <i>
      <x v="390"/>
    </i>
    <i>
      <x v="466"/>
    </i>
    <i>
      <x v="57"/>
    </i>
    <i>
      <x v="159"/>
    </i>
    <i>
      <x v="418"/>
    </i>
    <i>
      <x v="255"/>
    </i>
    <i>
      <x v="5"/>
    </i>
    <i>
      <x v="35"/>
    </i>
    <i>
      <x v="351"/>
    </i>
    <i>
      <x v="593"/>
    </i>
    <i>
      <x v="204"/>
    </i>
    <i>
      <x v="22"/>
    </i>
    <i>
      <x v="472"/>
    </i>
    <i>
      <x v="7"/>
    </i>
    <i>
      <x v="197"/>
    </i>
    <i>
      <x v="131"/>
    </i>
    <i>
      <x v="192"/>
    </i>
    <i>
      <x v="513"/>
    </i>
    <i>
      <x v="358"/>
    </i>
    <i>
      <x v="208"/>
    </i>
    <i>
      <x v="364"/>
    </i>
    <i>
      <x v="181"/>
    </i>
    <i>
      <x v="462"/>
    </i>
    <i>
      <x v="26"/>
    </i>
    <i>
      <x v="380"/>
    </i>
    <i>
      <x v="382"/>
    </i>
    <i>
      <x v="72"/>
    </i>
    <i>
      <x v="171"/>
    </i>
    <i>
      <x v="571"/>
    </i>
    <i>
      <x v="15"/>
    </i>
    <i>
      <x v="168"/>
    </i>
    <i>
      <x v="54"/>
    </i>
    <i>
      <x v="491"/>
    </i>
    <i>
      <x v="584"/>
    </i>
    <i>
      <x v="360"/>
    </i>
    <i>
      <x v="615"/>
    </i>
    <i>
      <x v="617"/>
    </i>
    <i>
      <x v="359"/>
    </i>
    <i>
      <x v="588"/>
    </i>
    <i>
      <x v="583"/>
    </i>
    <i>
      <x v="533"/>
    </i>
    <i>
      <x v="576"/>
    </i>
    <i>
      <x v="302"/>
    </i>
    <i>
      <x v="598"/>
    </i>
    <i>
      <x v="568"/>
    </i>
    <i>
      <x v="511"/>
    </i>
    <i>
      <x v="470"/>
    </i>
    <i>
      <x v="316"/>
    </i>
    <i>
      <x v="246"/>
    </i>
    <i>
      <x v="577"/>
    </i>
    <i>
      <x v="518"/>
    </i>
    <i>
      <x v="611"/>
    </i>
    <i>
      <x v="600"/>
    </i>
    <i>
      <x v="616"/>
    </i>
    <i>
      <x v="621"/>
    </i>
    <i>
      <x v="592"/>
    </i>
    <i>
      <x v="608"/>
    </i>
    <i>
      <x v="515"/>
    </i>
    <i>
      <x v="535"/>
    </i>
    <i>
      <x v="552"/>
    </i>
    <i>
      <x v="188"/>
    </i>
    <i>
      <x v="529"/>
    </i>
    <i>
      <x v="146"/>
    </i>
    <i>
      <x v="460"/>
    </i>
    <i>
      <x/>
    </i>
    <i>
      <x v="553"/>
    </i>
    <i>
      <x v="432"/>
    </i>
    <i>
      <x v="546"/>
    </i>
    <i>
      <x v="30"/>
    </i>
    <i>
      <x v="74"/>
    </i>
    <i>
      <x v="198"/>
    </i>
    <i>
      <x v="51"/>
    </i>
    <i>
      <x v="625"/>
    </i>
    <i>
      <x v="558"/>
    </i>
    <i>
      <x v="391"/>
    </i>
    <i>
      <x v="33"/>
    </i>
    <i>
      <x v="549"/>
    </i>
    <i>
      <x v="132"/>
    </i>
    <i>
      <x v="179"/>
    </i>
    <i>
      <x v="211"/>
    </i>
    <i>
      <x v="40"/>
    </i>
    <i>
      <x v="337"/>
    </i>
    <i>
      <x v="506"/>
    </i>
    <i>
      <x v="327"/>
    </i>
    <i>
      <x v="32"/>
    </i>
    <i>
      <x v="71"/>
    </i>
    <i>
      <x v="450"/>
    </i>
    <i>
      <x v="613"/>
    </i>
    <i>
      <x v="626"/>
    </i>
    <i>
      <x v="79"/>
    </i>
    <i>
      <x v="82"/>
    </i>
    <i>
      <x v="543"/>
    </i>
    <i>
      <x v="597"/>
    </i>
    <i>
      <x v="350"/>
    </i>
    <i>
      <x v="563"/>
    </i>
    <i>
      <x v="52"/>
    </i>
    <i>
      <x v="384"/>
    </i>
    <i>
      <x v="392"/>
    </i>
    <i>
      <x v="385"/>
    </i>
    <i>
      <x v="631"/>
    </i>
    <i>
      <x v="555"/>
    </i>
    <i>
      <x v="217"/>
    </i>
    <i>
      <x v="43"/>
    </i>
    <i>
      <x v="537"/>
    </i>
    <i>
      <x v="579"/>
    </i>
    <i>
      <x v="157"/>
    </i>
    <i>
      <x v="449"/>
    </i>
    <i>
      <x v="182"/>
    </i>
    <i>
      <x v="85"/>
    </i>
    <i>
      <x v="238"/>
    </i>
    <i>
      <x v="623"/>
    </i>
    <i>
      <x v="20"/>
    </i>
    <i>
      <x v="629"/>
    </i>
    <i>
      <x v="356"/>
    </i>
    <i>
      <x v="158"/>
    </i>
    <i>
      <x v="396"/>
    </i>
    <i>
      <x v="371"/>
    </i>
    <i>
      <x v="318"/>
    </i>
    <i>
      <x v="498"/>
    </i>
    <i>
      <x v="417"/>
    </i>
    <i>
      <x v="387"/>
    </i>
    <i>
      <x v="381"/>
    </i>
    <i>
      <x v="632"/>
    </i>
    <i>
      <x v="526"/>
    </i>
    <i>
      <x v="591"/>
    </i>
    <i>
      <x v="68"/>
    </i>
    <i>
      <x v="438"/>
    </i>
    <i>
      <x v="505"/>
    </i>
    <i>
      <x v="622"/>
    </i>
    <i>
      <x v="605"/>
    </i>
    <i>
      <x v="567"/>
    </i>
    <i>
      <x v="42"/>
    </i>
    <i>
      <x v="572"/>
    </i>
    <i>
      <x v="574"/>
    </i>
    <i>
      <x v="176"/>
    </i>
    <i>
      <x v="191"/>
    </i>
    <i>
      <x v="444"/>
    </i>
    <i>
      <x v="77"/>
    </i>
    <i>
      <x v="69"/>
    </i>
    <i>
      <x v="76"/>
    </i>
    <i>
      <x v="550"/>
    </i>
    <i>
      <x v="604"/>
    </i>
    <i>
      <x v="86"/>
    </i>
    <i>
      <x v="195"/>
    </i>
    <i>
      <x v="456"/>
    </i>
    <i>
      <x v="548"/>
    </i>
    <i>
      <x v="230"/>
    </i>
    <i>
      <x v="31"/>
    </i>
    <i>
      <x v="465"/>
    </i>
    <i>
      <x v="452"/>
    </i>
    <i>
      <x v="601"/>
    </i>
    <i>
      <x v="231"/>
    </i>
    <i>
      <x v="485"/>
    </i>
    <i>
      <x v="620"/>
    </i>
    <i>
      <x v="619"/>
    </i>
    <i>
      <x v="614"/>
    </i>
    <i>
      <x v="610"/>
    </i>
    <i>
      <x v="50"/>
    </i>
    <i>
      <x v="561"/>
    </i>
    <i>
      <x v="503"/>
    </i>
    <i>
      <x v="510"/>
    </i>
    <i>
      <x v="468"/>
    </i>
    <i>
      <x v="426"/>
    </i>
    <i>
      <x v="100"/>
    </i>
    <i>
      <x v="161"/>
    </i>
    <i>
      <x v="241"/>
    </i>
    <i>
      <x v="75"/>
    </i>
    <i>
      <x v="560"/>
    </i>
    <i>
      <x v="442"/>
    </i>
    <i>
      <x v="29"/>
    </i>
    <i>
      <x v="516"/>
    </i>
    <i>
      <x v="67"/>
    </i>
    <i>
      <x v="37"/>
    </i>
    <i>
      <x v="556"/>
    </i>
    <i>
      <x v="575"/>
    </i>
    <i>
      <x v="430"/>
    </i>
    <i>
      <x v="170"/>
    </i>
    <i>
      <x v="559"/>
    </i>
    <i>
      <x v="44"/>
    </i>
    <i>
      <x v="91"/>
    </i>
    <i>
      <x v="331"/>
    </i>
    <i>
      <x v="627"/>
    </i>
    <i>
      <x v="581"/>
    </i>
    <i>
      <x v="153"/>
    </i>
    <i>
      <x v="443"/>
    </i>
    <i>
      <x v="110"/>
    </i>
    <i>
      <x v="148"/>
    </i>
    <i>
      <x v="36"/>
    </i>
    <i>
      <x v="354"/>
    </i>
    <i>
      <x v="607"/>
    </i>
    <i>
      <x v="10"/>
    </i>
    <i>
      <x v="252"/>
    </i>
    <i>
      <x v="167"/>
    </i>
    <i>
      <x v="437"/>
    </i>
    <i>
      <x v="514"/>
    </i>
    <i>
      <x v="315"/>
    </i>
    <i>
      <x v="566"/>
    </i>
    <i>
      <x v="455"/>
    </i>
    <i>
      <x v="398"/>
    </i>
    <i>
      <x v="49"/>
    </i>
    <i>
      <x v="14"/>
    </i>
    <i>
      <x v="8"/>
    </i>
    <i>
      <x v="397"/>
    </i>
    <i>
      <x v="606"/>
    </i>
    <i>
      <x v="467"/>
    </i>
    <i>
      <x v="401"/>
    </i>
    <i>
      <x v="25"/>
    </i>
    <i>
      <x v="508"/>
    </i>
    <i>
      <x v="562"/>
    </i>
    <i>
      <x v="520"/>
    </i>
    <i>
      <x v="509"/>
    </i>
    <i>
      <x v="612"/>
    </i>
    <i>
      <x v="541"/>
    </i>
    <i>
      <x v="112"/>
    </i>
    <i>
      <x v="9"/>
    </i>
    <i>
      <x v="111"/>
    </i>
    <i>
      <x v="78"/>
    </i>
    <i>
      <x v="400"/>
    </i>
    <i>
      <x v="425"/>
    </i>
    <i>
      <x v="416"/>
    </i>
    <i>
      <x v="89"/>
    </i>
    <i>
      <x v="463"/>
    </i>
    <i>
      <x v="388"/>
    </i>
    <i>
      <x v="446"/>
    </i>
    <i>
      <x v="152"/>
    </i>
    <i>
      <x v="389"/>
    </i>
    <i>
      <x v="427"/>
    </i>
    <i>
      <x v="624"/>
    </i>
    <i>
      <x v="492"/>
    </i>
    <i>
      <x v="83"/>
    </i>
    <i>
      <x v="590"/>
    </i>
    <i>
      <x v="34"/>
    </i>
    <i>
      <x v="228"/>
    </i>
    <i>
      <x v="445"/>
    </i>
    <i>
      <x v="395"/>
    </i>
    <i>
      <x v="169"/>
    </i>
    <i>
      <x v="87"/>
    </i>
    <i>
      <x v="525"/>
    </i>
    <i>
      <x v="70"/>
    </i>
    <i>
      <x v="41"/>
    </i>
    <i>
      <x v="213"/>
    </i>
    <i>
      <x v="521"/>
    </i>
    <i>
      <x v="81"/>
    </i>
    <i>
      <x v="247"/>
    </i>
    <i>
      <x v="45"/>
    </i>
    <i>
      <x v="109"/>
    </i>
    <i>
      <x v="193"/>
    </i>
    <i>
      <x v="483"/>
    </i>
    <i>
      <x v="630"/>
    </i>
    <i>
      <x v="156"/>
    </i>
    <i>
      <x v="451"/>
    </i>
    <i>
      <x v="256"/>
    </i>
    <i>
      <x v="403"/>
    </i>
    <i>
      <x v="294"/>
    </i>
    <i>
      <x v="154"/>
    </i>
    <i>
      <x v="84"/>
    </i>
    <i>
      <x v="484"/>
    </i>
    <i>
      <x v="564"/>
    </i>
    <i>
      <x v="239"/>
    </i>
    <i>
      <x v="203"/>
    </i>
    <i>
      <x v="177"/>
    </i>
    <i>
      <x v="80"/>
    </i>
    <i>
      <x v="24"/>
    </i>
    <i>
      <x v="565"/>
    </i>
    <i t="grand">
      <x/>
    </i>
  </rowItems>
  <colItems count="1">
    <i/>
  </colItems>
  <dataFields count="1">
    <dataField name="Sum of Sales" fld="17" baseField="0" baseItem="0"/>
  </dataFields>
  <formats count="2">
    <format dxfId="8">
      <pivotArea outline="0" collapsedLevelsAreSubtotals="1" fieldPosition="0"/>
    </format>
    <format dxfId="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4997E4-8CB7-4BB4-A090-5803C7A63162}" name="Sales By Ship Mode" cacheId="60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Z26:AA31" firstHeaderRow="1" firstDataRow="1" firstDataCol="1"/>
  <pivotFields count="27">
    <pivotField showAll="0"/>
    <pivotField showAll="0"/>
    <pivotField showAll="0">
      <items count="553">
        <item x="6"/>
        <item x="20"/>
        <item x="1"/>
        <item x="26"/>
        <item x="0"/>
        <item x="4"/>
        <item x="9"/>
        <item x="14"/>
        <item x="45"/>
        <item x="34"/>
        <item x="39"/>
        <item x="37"/>
        <item x="46"/>
        <item x="47"/>
        <item x="41"/>
        <item x="87"/>
        <item x="71"/>
        <item x="75"/>
        <item x="77"/>
        <item x="63"/>
        <item x="51"/>
        <item x="89"/>
        <item x="117"/>
        <item x="108"/>
        <item x="134"/>
        <item x="124"/>
        <item x="107"/>
        <item x="156"/>
        <item x="169"/>
        <item x="165"/>
        <item x="174"/>
        <item x="171"/>
        <item x="168"/>
        <item x="160"/>
        <item x="146"/>
        <item x="143"/>
        <item x="167"/>
        <item x="161"/>
        <item x="201"/>
        <item x="181"/>
        <item x="218"/>
        <item x="188"/>
        <item x="185"/>
        <item x="223"/>
        <item x="184"/>
        <item x="189"/>
        <item x="206"/>
        <item x="219"/>
        <item x="199"/>
        <item x="210"/>
        <item x="259"/>
        <item x="262"/>
        <item x="226"/>
        <item x="252"/>
        <item x="229"/>
        <item x="250"/>
        <item x="260"/>
        <item x="234"/>
        <item x="267"/>
        <item x="270"/>
        <item x="268"/>
        <item x="286"/>
        <item x="269"/>
        <item x="272"/>
        <item x="290"/>
        <item x="295"/>
        <item x="273"/>
        <item x="285"/>
        <item x="294"/>
        <item x="316"/>
        <item x="325"/>
        <item x="335"/>
        <item x="341"/>
        <item x="315"/>
        <item x="344"/>
        <item x="333"/>
        <item x="353"/>
        <item x="306"/>
        <item x="334"/>
        <item x="348"/>
        <item x="356"/>
        <item x="339"/>
        <item x="350"/>
        <item x="364"/>
        <item x="332"/>
        <item x="396"/>
        <item x="398"/>
        <item x="416"/>
        <item x="411"/>
        <item x="367"/>
        <item x="376"/>
        <item x="412"/>
        <item x="384"/>
        <item x="407"/>
        <item x="425"/>
        <item x="440"/>
        <item x="462"/>
        <item x="423"/>
        <item x="428"/>
        <item x="449"/>
        <item x="482"/>
        <item x="463"/>
        <item x="427"/>
        <item x="421"/>
        <item x="472"/>
        <item x="476"/>
        <item x="473"/>
        <item x="470"/>
        <item x="543"/>
        <item x="533"/>
        <item x="519"/>
        <item x="545"/>
        <item x="534"/>
        <item x="542"/>
        <item x="551"/>
        <item x="504"/>
        <item x="535"/>
        <item x="529"/>
        <item x="547"/>
        <item x="520"/>
        <item x="513"/>
        <item x="544"/>
        <item x="538"/>
        <item x="549"/>
        <item x="12"/>
        <item x="22"/>
        <item x="18"/>
        <item x="50"/>
        <item x="35"/>
        <item x="32"/>
        <item x="36"/>
        <item x="82"/>
        <item x="55"/>
        <item x="54"/>
        <item x="76"/>
        <item x="57"/>
        <item x="84"/>
        <item x="53"/>
        <item x="52"/>
        <item x="93"/>
        <item x="64"/>
        <item x="132"/>
        <item x="113"/>
        <item x="128"/>
        <item x="118"/>
        <item x="115"/>
        <item x="101"/>
        <item x="116"/>
        <item x="127"/>
        <item x="141"/>
        <item x="98"/>
        <item x="121"/>
        <item x="105"/>
        <item x="135"/>
        <item x="176"/>
        <item x="151"/>
        <item x="154"/>
        <item x="178"/>
        <item x="166"/>
        <item x="212"/>
        <item x="195"/>
        <item x="203"/>
        <item x="190"/>
        <item x="222"/>
        <item x="215"/>
        <item x="246"/>
        <item x="230"/>
        <item x="231"/>
        <item x="245"/>
        <item x="240"/>
        <item x="247"/>
        <item x="232"/>
        <item x="277"/>
        <item x="297"/>
        <item x="288"/>
        <item x="298"/>
        <item x="292"/>
        <item x="266"/>
        <item x="300"/>
        <item x="327"/>
        <item x="314"/>
        <item x="347"/>
        <item x="310"/>
        <item x="322"/>
        <item x="359"/>
        <item x="337"/>
        <item x="320"/>
        <item x="361"/>
        <item x="362"/>
        <item x="303"/>
        <item x="357"/>
        <item x="302"/>
        <item x="321"/>
        <item x="308"/>
        <item x="401"/>
        <item x="379"/>
        <item x="409"/>
        <item x="391"/>
        <item x="383"/>
        <item x="390"/>
        <item x="410"/>
        <item x="399"/>
        <item x="382"/>
        <item x="365"/>
        <item x="394"/>
        <item x="484"/>
        <item x="471"/>
        <item x="481"/>
        <item x="459"/>
        <item x="485"/>
        <item x="480"/>
        <item x="477"/>
        <item x="456"/>
        <item x="435"/>
        <item x="460"/>
        <item x="445"/>
        <item x="458"/>
        <item x="426"/>
        <item x="453"/>
        <item x="465"/>
        <item x="424"/>
        <item x="469"/>
        <item x="536"/>
        <item x="527"/>
        <item x="506"/>
        <item x="497"/>
        <item x="518"/>
        <item x="541"/>
        <item x="539"/>
        <item x="532"/>
        <item x="523"/>
        <item x="493"/>
        <item x="498"/>
        <item x="550"/>
        <item x="492"/>
        <item x="502"/>
        <item x="509"/>
        <item x="501"/>
        <item x="531"/>
        <item x="524"/>
        <item x="5"/>
        <item x="16"/>
        <item x="17"/>
        <item x="11"/>
        <item x="23"/>
        <item x="40"/>
        <item x="28"/>
        <item x="33"/>
        <item x="31"/>
        <item x="49"/>
        <item x="61"/>
        <item x="60"/>
        <item x="83"/>
        <item x="86"/>
        <item x="59"/>
        <item x="67"/>
        <item x="92"/>
        <item x="91"/>
        <item x="65"/>
        <item x="58"/>
        <item x="56"/>
        <item x="70"/>
        <item x="94"/>
        <item x="129"/>
        <item x="100"/>
        <item x="110"/>
        <item x="130"/>
        <item x="112"/>
        <item x="106"/>
        <item x="96"/>
        <item x="140"/>
        <item x="122"/>
        <item x="99"/>
        <item x="109"/>
        <item x="95"/>
        <item x="97"/>
        <item x="139"/>
        <item x="103"/>
        <item x="123"/>
        <item x="145"/>
        <item x="173"/>
        <item x="153"/>
        <item x="158"/>
        <item x="179"/>
        <item x="159"/>
        <item x="157"/>
        <item x="164"/>
        <item x="170"/>
        <item x="155"/>
        <item x="172"/>
        <item x="163"/>
        <item x="175"/>
        <item x="162"/>
        <item x="183"/>
        <item x="208"/>
        <item x="214"/>
        <item x="200"/>
        <item x="209"/>
        <item x="186"/>
        <item x="216"/>
        <item x="187"/>
        <item x="192"/>
        <item x="180"/>
        <item x="258"/>
        <item x="254"/>
        <item x="248"/>
        <item x="225"/>
        <item x="244"/>
        <item x="257"/>
        <item x="241"/>
        <item x="235"/>
        <item x="243"/>
        <item x="249"/>
        <item x="263"/>
        <item x="256"/>
        <item x="293"/>
        <item x="280"/>
        <item x="265"/>
        <item x="299"/>
        <item x="271"/>
        <item x="289"/>
        <item x="281"/>
        <item x="282"/>
        <item x="276"/>
        <item x="275"/>
        <item x="291"/>
        <item x="351"/>
        <item x="345"/>
        <item x="311"/>
        <item x="342"/>
        <item x="323"/>
        <item x="307"/>
        <item x="363"/>
        <item x="352"/>
        <item x="312"/>
        <item x="317"/>
        <item x="329"/>
        <item x="301"/>
        <item x="355"/>
        <item x="309"/>
        <item x="370"/>
        <item x="385"/>
        <item x="393"/>
        <item x="414"/>
        <item x="372"/>
        <item x="392"/>
        <item x="369"/>
        <item x="388"/>
        <item x="404"/>
        <item x="400"/>
        <item x="381"/>
        <item x="403"/>
        <item x="438"/>
        <item x="436"/>
        <item x="434"/>
        <item x="448"/>
        <item x="464"/>
        <item x="429"/>
        <item x="432"/>
        <item x="474"/>
        <item x="437"/>
        <item x="433"/>
        <item x="487"/>
        <item x="450"/>
        <item x="420"/>
        <item x="439"/>
        <item x="478"/>
        <item x="466"/>
        <item x="444"/>
        <item x="467"/>
        <item x="475"/>
        <item x="451"/>
        <item x="525"/>
        <item x="546"/>
        <item x="512"/>
        <item x="500"/>
        <item x="514"/>
        <item x="508"/>
        <item x="496"/>
        <item x="507"/>
        <item x="495"/>
        <item x="505"/>
        <item x="494"/>
        <item x="13"/>
        <item x="21"/>
        <item x="8"/>
        <item x="15"/>
        <item x="10"/>
        <item x="2"/>
        <item x="25"/>
        <item x="7"/>
        <item x="3"/>
        <item x="19"/>
        <item x="24"/>
        <item x="27"/>
        <item x="42"/>
        <item x="44"/>
        <item x="38"/>
        <item x="48"/>
        <item x="29"/>
        <item x="30"/>
        <item x="43"/>
        <item x="69"/>
        <item x="80"/>
        <item x="74"/>
        <item x="78"/>
        <item x="90"/>
        <item x="85"/>
        <item x="79"/>
        <item x="81"/>
        <item x="62"/>
        <item x="88"/>
        <item x="72"/>
        <item x="68"/>
        <item x="66"/>
        <item x="73"/>
        <item x="131"/>
        <item x="102"/>
        <item x="133"/>
        <item x="111"/>
        <item x="114"/>
        <item x="119"/>
        <item x="126"/>
        <item x="142"/>
        <item x="137"/>
        <item x="125"/>
        <item x="120"/>
        <item x="104"/>
        <item x="136"/>
        <item x="138"/>
        <item x="149"/>
        <item x="147"/>
        <item x="152"/>
        <item x="144"/>
        <item x="148"/>
        <item x="150"/>
        <item x="177"/>
        <item x="191"/>
        <item x="205"/>
        <item x="221"/>
        <item x="202"/>
        <item x="182"/>
        <item x="211"/>
        <item x="194"/>
        <item x="217"/>
        <item x="220"/>
        <item x="198"/>
        <item x="197"/>
        <item x="196"/>
        <item x="213"/>
        <item x="207"/>
        <item x="193"/>
        <item x="204"/>
        <item x="236"/>
        <item x="253"/>
        <item x="224"/>
        <item x="238"/>
        <item x="237"/>
        <item x="261"/>
        <item x="228"/>
        <item x="242"/>
        <item x="233"/>
        <item x="255"/>
        <item x="227"/>
        <item x="251"/>
        <item x="239"/>
        <item x="264"/>
        <item x="284"/>
        <item x="274"/>
        <item x="283"/>
        <item x="279"/>
        <item x="296"/>
        <item x="278"/>
        <item x="287"/>
        <item x="328"/>
        <item x="343"/>
        <item x="304"/>
        <item x="360"/>
        <item x="313"/>
        <item x="349"/>
        <item x="319"/>
        <item x="331"/>
        <item x="305"/>
        <item x="358"/>
        <item x="336"/>
        <item x="340"/>
        <item x="318"/>
        <item x="324"/>
        <item x="326"/>
        <item x="338"/>
        <item x="330"/>
        <item x="346"/>
        <item x="354"/>
        <item x="368"/>
        <item x="375"/>
        <item x="378"/>
        <item x="406"/>
        <item x="371"/>
        <item x="408"/>
        <item x="387"/>
        <item x="380"/>
        <item x="386"/>
        <item x="413"/>
        <item x="415"/>
        <item x="395"/>
        <item x="366"/>
        <item x="374"/>
        <item x="377"/>
        <item x="389"/>
        <item x="405"/>
        <item x="373"/>
        <item x="402"/>
        <item x="397"/>
        <item x="443"/>
        <item x="455"/>
        <item x="418"/>
        <item x="419"/>
        <item x="446"/>
        <item x="447"/>
        <item x="483"/>
        <item x="454"/>
        <item x="441"/>
        <item x="431"/>
        <item x="461"/>
        <item x="468"/>
        <item x="430"/>
        <item x="452"/>
        <item x="479"/>
        <item x="457"/>
        <item x="422"/>
        <item x="417"/>
        <item x="442"/>
        <item x="486"/>
        <item x="511"/>
        <item x="516"/>
        <item x="530"/>
        <item x="540"/>
        <item x="510"/>
        <item x="528"/>
        <item x="491"/>
        <item x="489"/>
        <item x="499"/>
        <item x="522"/>
        <item x="521"/>
        <item x="548"/>
        <item x="488"/>
        <item x="517"/>
        <item x="537"/>
        <item x="515"/>
        <item x="526"/>
        <item x="490"/>
        <item x="503"/>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v="1"/>
    </i>
    <i>
      <x v="2"/>
    </i>
    <i>
      <x/>
    </i>
    <i>
      <x v="3"/>
    </i>
    <i t="grand">
      <x/>
    </i>
  </rowItems>
  <colItems count="1">
    <i/>
  </colItems>
  <dataFields count="1">
    <dataField name="Sum of Sales" fld="17" baseField="0" baseItem="0" numFmtId="170"/>
  </dataFields>
  <formats count="3">
    <format dxfId="11">
      <pivotArea grandRow="1" outline="0" collapsedLevelsAreSubtotals="1" fieldPosition="0"/>
    </format>
    <format dxfId="10">
      <pivotArea collapsedLevelsAreSubtotals="1" fieldPosition="0">
        <references count="1">
          <reference field="4" count="0"/>
        </references>
      </pivotArea>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5E6BD-8669-4EF2-96D0-6C43C29CC55A}" name="State Analysis" cacheId="60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H10:I52" firstHeaderRow="1" firstDataRow="1" firstDataCol="1"/>
  <pivotFields count="27">
    <pivotField showAll="0"/>
    <pivotField showAll="0"/>
    <pivotField showAll="0">
      <items count="553">
        <item x="6"/>
        <item x="20"/>
        <item x="1"/>
        <item x="26"/>
        <item x="0"/>
        <item x="4"/>
        <item x="9"/>
        <item x="14"/>
        <item x="45"/>
        <item x="34"/>
        <item x="39"/>
        <item x="37"/>
        <item x="46"/>
        <item x="47"/>
        <item x="41"/>
        <item x="87"/>
        <item x="71"/>
        <item x="75"/>
        <item x="77"/>
        <item x="63"/>
        <item x="51"/>
        <item x="89"/>
        <item x="117"/>
        <item x="108"/>
        <item x="134"/>
        <item x="124"/>
        <item x="107"/>
        <item x="156"/>
        <item x="169"/>
        <item x="165"/>
        <item x="174"/>
        <item x="171"/>
        <item x="168"/>
        <item x="160"/>
        <item x="146"/>
        <item x="143"/>
        <item x="167"/>
        <item x="161"/>
        <item x="201"/>
        <item x="181"/>
        <item x="218"/>
        <item x="188"/>
        <item x="185"/>
        <item x="223"/>
        <item x="184"/>
        <item x="189"/>
        <item x="206"/>
        <item x="219"/>
        <item x="199"/>
        <item x="210"/>
        <item x="259"/>
        <item x="262"/>
        <item x="226"/>
        <item x="252"/>
        <item x="229"/>
        <item x="250"/>
        <item x="260"/>
        <item x="234"/>
        <item x="267"/>
        <item x="270"/>
        <item x="268"/>
        <item x="286"/>
        <item x="269"/>
        <item x="272"/>
        <item x="290"/>
        <item x="295"/>
        <item x="273"/>
        <item x="285"/>
        <item x="294"/>
        <item x="316"/>
        <item x="325"/>
        <item x="335"/>
        <item x="341"/>
        <item x="315"/>
        <item x="344"/>
        <item x="333"/>
        <item x="353"/>
        <item x="306"/>
        <item x="334"/>
        <item x="348"/>
        <item x="356"/>
        <item x="339"/>
        <item x="350"/>
        <item x="364"/>
        <item x="332"/>
        <item x="396"/>
        <item x="398"/>
        <item x="416"/>
        <item x="411"/>
        <item x="367"/>
        <item x="376"/>
        <item x="412"/>
        <item x="384"/>
        <item x="407"/>
        <item x="425"/>
        <item x="440"/>
        <item x="462"/>
        <item x="423"/>
        <item x="428"/>
        <item x="449"/>
        <item x="482"/>
        <item x="463"/>
        <item x="427"/>
        <item x="421"/>
        <item x="472"/>
        <item x="476"/>
        <item x="473"/>
        <item x="470"/>
        <item x="543"/>
        <item x="533"/>
        <item x="519"/>
        <item x="545"/>
        <item x="534"/>
        <item x="542"/>
        <item x="551"/>
        <item x="504"/>
        <item x="535"/>
        <item x="529"/>
        <item x="547"/>
        <item x="520"/>
        <item x="513"/>
        <item x="544"/>
        <item x="538"/>
        <item x="549"/>
        <item x="12"/>
        <item x="22"/>
        <item x="18"/>
        <item x="50"/>
        <item x="35"/>
        <item x="32"/>
        <item x="36"/>
        <item x="82"/>
        <item x="55"/>
        <item x="54"/>
        <item x="76"/>
        <item x="57"/>
        <item x="84"/>
        <item x="53"/>
        <item x="52"/>
        <item x="93"/>
        <item x="64"/>
        <item x="132"/>
        <item x="113"/>
        <item x="128"/>
        <item x="118"/>
        <item x="115"/>
        <item x="101"/>
        <item x="116"/>
        <item x="127"/>
        <item x="141"/>
        <item x="98"/>
        <item x="121"/>
        <item x="105"/>
        <item x="135"/>
        <item x="176"/>
        <item x="151"/>
        <item x="154"/>
        <item x="178"/>
        <item x="166"/>
        <item x="212"/>
        <item x="195"/>
        <item x="203"/>
        <item x="190"/>
        <item x="222"/>
        <item x="215"/>
        <item x="246"/>
        <item x="230"/>
        <item x="231"/>
        <item x="245"/>
        <item x="240"/>
        <item x="247"/>
        <item x="232"/>
        <item x="277"/>
        <item x="297"/>
        <item x="288"/>
        <item x="298"/>
        <item x="292"/>
        <item x="266"/>
        <item x="300"/>
        <item x="327"/>
        <item x="314"/>
        <item x="347"/>
        <item x="310"/>
        <item x="322"/>
        <item x="359"/>
        <item x="337"/>
        <item x="320"/>
        <item x="361"/>
        <item x="362"/>
        <item x="303"/>
        <item x="357"/>
        <item x="302"/>
        <item x="321"/>
        <item x="308"/>
        <item x="401"/>
        <item x="379"/>
        <item x="409"/>
        <item x="391"/>
        <item x="383"/>
        <item x="390"/>
        <item x="410"/>
        <item x="399"/>
        <item x="382"/>
        <item x="365"/>
        <item x="394"/>
        <item x="484"/>
        <item x="471"/>
        <item x="481"/>
        <item x="459"/>
        <item x="485"/>
        <item x="480"/>
        <item x="477"/>
        <item x="456"/>
        <item x="435"/>
        <item x="460"/>
        <item x="445"/>
        <item x="458"/>
        <item x="426"/>
        <item x="453"/>
        <item x="465"/>
        <item x="424"/>
        <item x="469"/>
        <item x="536"/>
        <item x="527"/>
        <item x="506"/>
        <item x="497"/>
        <item x="518"/>
        <item x="541"/>
        <item x="539"/>
        <item x="532"/>
        <item x="523"/>
        <item x="493"/>
        <item x="498"/>
        <item x="550"/>
        <item x="492"/>
        <item x="502"/>
        <item x="509"/>
        <item x="501"/>
        <item x="531"/>
        <item x="524"/>
        <item x="5"/>
        <item x="16"/>
        <item x="17"/>
        <item x="11"/>
        <item x="23"/>
        <item x="40"/>
        <item x="28"/>
        <item x="33"/>
        <item x="31"/>
        <item x="49"/>
        <item x="61"/>
        <item x="60"/>
        <item x="83"/>
        <item x="86"/>
        <item x="59"/>
        <item x="67"/>
        <item x="92"/>
        <item x="91"/>
        <item x="65"/>
        <item x="58"/>
        <item x="56"/>
        <item x="70"/>
        <item x="94"/>
        <item x="129"/>
        <item x="100"/>
        <item x="110"/>
        <item x="130"/>
        <item x="112"/>
        <item x="106"/>
        <item x="96"/>
        <item x="140"/>
        <item x="122"/>
        <item x="99"/>
        <item x="109"/>
        <item x="95"/>
        <item x="97"/>
        <item x="139"/>
        <item x="103"/>
        <item x="123"/>
        <item x="145"/>
        <item x="173"/>
        <item x="153"/>
        <item x="158"/>
        <item x="179"/>
        <item x="159"/>
        <item x="157"/>
        <item x="164"/>
        <item x="170"/>
        <item x="155"/>
        <item x="172"/>
        <item x="163"/>
        <item x="175"/>
        <item x="162"/>
        <item x="183"/>
        <item x="208"/>
        <item x="214"/>
        <item x="200"/>
        <item x="209"/>
        <item x="186"/>
        <item x="216"/>
        <item x="187"/>
        <item x="192"/>
        <item x="180"/>
        <item x="258"/>
        <item x="254"/>
        <item x="248"/>
        <item x="225"/>
        <item x="244"/>
        <item x="257"/>
        <item x="241"/>
        <item x="235"/>
        <item x="243"/>
        <item x="249"/>
        <item x="263"/>
        <item x="256"/>
        <item x="293"/>
        <item x="280"/>
        <item x="265"/>
        <item x="299"/>
        <item x="271"/>
        <item x="289"/>
        <item x="281"/>
        <item x="282"/>
        <item x="276"/>
        <item x="275"/>
        <item x="291"/>
        <item x="351"/>
        <item x="345"/>
        <item x="311"/>
        <item x="342"/>
        <item x="323"/>
        <item x="307"/>
        <item x="363"/>
        <item x="352"/>
        <item x="312"/>
        <item x="317"/>
        <item x="329"/>
        <item x="301"/>
        <item x="355"/>
        <item x="309"/>
        <item x="370"/>
        <item x="385"/>
        <item x="393"/>
        <item x="414"/>
        <item x="372"/>
        <item x="392"/>
        <item x="369"/>
        <item x="388"/>
        <item x="404"/>
        <item x="400"/>
        <item x="381"/>
        <item x="403"/>
        <item x="438"/>
        <item x="436"/>
        <item x="434"/>
        <item x="448"/>
        <item x="464"/>
        <item x="429"/>
        <item x="432"/>
        <item x="474"/>
        <item x="437"/>
        <item x="433"/>
        <item x="487"/>
        <item x="450"/>
        <item x="420"/>
        <item x="439"/>
        <item x="478"/>
        <item x="466"/>
        <item x="444"/>
        <item x="467"/>
        <item x="475"/>
        <item x="451"/>
        <item x="525"/>
        <item x="546"/>
        <item x="512"/>
        <item x="500"/>
        <item x="514"/>
        <item x="508"/>
        <item x="496"/>
        <item x="507"/>
        <item x="495"/>
        <item x="505"/>
        <item x="494"/>
        <item x="13"/>
        <item x="21"/>
        <item x="8"/>
        <item x="15"/>
        <item x="10"/>
        <item x="2"/>
        <item x="25"/>
        <item x="7"/>
        <item x="3"/>
        <item x="19"/>
        <item x="24"/>
        <item x="27"/>
        <item x="42"/>
        <item x="44"/>
        <item x="38"/>
        <item x="48"/>
        <item x="29"/>
        <item x="30"/>
        <item x="43"/>
        <item x="69"/>
        <item x="80"/>
        <item x="74"/>
        <item x="78"/>
        <item x="90"/>
        <item x="85"/>
        <item x="79"/>
        <item x="81"/>
        <item x="62"/>
        <item x="88"/>
        <item x="72"/>
        <item x="68"/>
        <item x="66"/>
        <item x="73"/>
        <item x="131"/>
        <item x="102"/>
        <item x="133"/>
        <item x="111"/>
        <item x="114"/>
        <item x="119"/>
        <item x="126"/>
        <item x="142"/>
        <item x="137"/>
        <item x="125"/>
        <item x="120"/>
        <item x="104"/>
        <item x="136"/>
        <item x="138"/>
        <item x="149"/>
        <item x="147"/>
        <item x="152"/>
        <item x="144"/>
        <item x="148"/>
        <item x="150"/>
        <item x="177"/>
        <item x="191"/>
        <item x="205"/>
        <item x="221"/>
        <item x="202"/>
        <item x="182"/>
        <item x="211"/>
        <item x="194"/>
        <item x="217"/>
        <item x="220"/>
        <item x="198"/>
        <item x="197"/>
        <item x="196"/>
        <item x="213"/>
        <item x="207"/>
        <item x="193"/>
        <item x="204"/>
        <item x="236"/>
        <item x="253"/>
        <item x="224"/>
        <item x="238"/>
        <item x="237"/>
        <item x="261"/>
        <item x="228"/>
        <item x="242"/>
        <item x="233"/>
        <item x="255"/>
        <item x="227"/>
        <item x="251"/>
        <item x="239"/>
        <item x="264"/>
        <item x="284"/>
        <item x="274"/>
        <item x="283"/>
        <item x="279"/>
        <item x="296"/>
        <item x="278"/>
        <item x="287"/>
        <item x="328"/>
        <item x="343"/>
        <item x="304"/>
        <item x="360"/>
        <item x="313"/>
        <item x="349"/>
        <item x="319"/>
        <item x="331"/>
        <item x="305"/>
        <item x="358"/>
        <item x="336"/>
        <item x="340"/>
        <item x="318"/>
        <item x="324"/>
        <item x="326"/>
        <item x="338"/>
        <item x="330"/>
        <item x="346"/>
        <item x="354"/>
        <item x="368"/>
        <item x="375"/>
        <item x="378"/>
        <item x="406"/>
        <item x="371"/>
        <item x="408"/>
        <item x="387"/>
        <item x="380"/>
        <item x="386"/>
        <item x="413"/>
        <item x="415"/>
        <item x="395"/>
        <item x="366"/>
        <item x="374"/>
        <item x="377"/>
        <item x="389"/>
        <item x="405"/>
        <item x="373"/>
        <item x="402"/>
        <item x="397"/>
        <item x="443"/>
        <item x="455"/>
        <item x="418"/>
        <item x="419"/>
        <item x="446"/>
        <item x="447"/>
        <item x="483"/>
        <item x="454"/>
        <item x="441"/>
        <item x="431"/>
        <item x="461"/>
        <item x="468"/>
        <item x="430"/>
        <item x="452"/>
        <item x="479"/>
        <item x="457"/>
        <item x="422"/>
        <item x="417"/>
        <item x="442"/>
        <item x="486"/>
        <item x="511"/>
        <item x="516"/>
        <item x="530"/>
        <item x="540"/>
        <item x="510"/>
        <item x="528"/>
        <item x="491"/>
        <item x="489"/>
        <item x="499"/>
        <item x="522"/>
        <item x="521"/>
        <item x="548"/>
        <item x="488"/>
        <item x="517"/>
        <item x="537"/>
        <item x="515"/>
        <item x="526"/>
        <item x="490"/>
        <item x="503"/>
        <item t="default"/>
      </items>
    </pivotField>
    <pivotField showAll="0"/>
    <pivotField showAll="0">
      <items count="5">
        <item x="2"/>
        <item x="3"/>
        <item x="0"/>
        <item x="1"/>
        <item t="default"/>
      </items>
    </pivotField>
    <pivotField showAll="0"/>
    <pivotField showAll="0"/>
    <pivotField showAll="0">
      <items count="4">
        <item x="2"/>
        <item x="0"/>
        <item x="1"/>
        <item t="default"/>
      </items>
    </pivotField>
    <pivotField showAll="0"/>
    <pivotField showAll="0"/>
    <pivotField axis="axisRow" showAll="0" sortType="descending">
      <items count="42">
        <item x="6"/>
        <item x="19"/>
        <item x="39"/>
        <item x="7"/>
        <item x="9"/>
        <item x="25"/>
        <item x="14"/>
        <item x="32"/>
        <item x="22"/>
        <item x="4"/>
        <item x="5"/>
        <item x="29"/>
        <item x="12"/>
        <item x="38"/>
        <item x="24"/>
        <item x="0"/>
        <item x="27"/>
        <item x="37"/>
        <item x="13"/>
        <item x="10"/>
        <item x="34"/>
        <item x="23"/>
        <item x="40"/>
        <item x="21"/>
        <item x="33"/>
        <item x="18"/>
        <item x="30"/>
        <item x="20"/>
        <item x="8"/>
        <item x="3"/>
        <item x="15"/>
        <item x="26"/>
        <item x="31"/>
        <item x="35"/>
        <item x="36"/>
        <item x="17"/>
        <item x="11"/>
        <item x="28"/>
        <item x="1"/>
        <item x="2"/>
        <item x="16"/>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42">
    <i>
      <x v="27"/>
    </i>
    <i>
      <x v="3"/>
    </i>
    <i>
      <x v="36"/>
    </i>
    <i>
      <x v="28"/>
    </i>
    <i>
      <x v="10"/>
    </i>
    <i>
      <x v="32"/>
    </i>
    <i>
      <x v="39"/>
    </i>
    <i>
      <x v="29"/>
    </i>
    <i>
      <x v="8"/>
    </i>
    <i>
      <x v="19"/>
    </i>
    <i>
      <x v="18"/>
    </i>
    <i>
      <x v="38"/>
    </i>
    <i>
      <x v="4"/>
    </i>
    <i>
      <x v="1"/>
    </i>
    <i>
      <x v="11"/>
    </i>
    <i>
      <x v="40"/>
    </i>
    <i>
      <x v="22"/>
    </i>
    <i>
      <x v="35"/>
    </i>
    <i>
      <x v="33"/>
    </i>
    <i>
      <x v="9"/>
    </i>
    <i>
      <x v="20"/>
    </i>
    <i>
      <x v="17"/>
    </i>
    <i>
      <x/>
    </i>
    <i>
      <x v="21"/>
    </i>
    <i>
      <x v="15"/>
    </i>
    <i>
      <x v="5"/>
    </i>
    <i>
      <x v="37"/>
    </i>
    <i>
      <x v="14"/>
    </i>
    <i>
      <x v="25"/>
    </i>
    <i>
      <x v="26"/>
    </i>
    <i>
      <x v="30"/>
    </i>
    <i>
      <x v="6"/>
    </i>
    <i>
      <x v="16"/>
    </i>
    <i>
      <x v="23"/>
    </i>
    <i>
      <x v="2"/>
    </i>
    <i>
      <x v="13"/>
    </i>
    <i>
      <x v="31"/>
    </i>
    <i>
      <x v="24"/>
    </i>
    <i>
      <x v="12"/>
    </i>
    <i>
      <x v="7"/>
    </i>
    <i>
      <x v="34"/>
    </i>
    <i t="grand">
      <x/>
    </i>
  </rowItems>
  <colItems count="1">
    <i/>
  </colItems>
  <dataFields count="1">
    <dataField name="Sum of Sales" fld="17" baseField="0" baseItem="0" numFmtId="164"/>
  </dataFields>
  <formats count="3">
    <format dxfId="14">
      <pivotArea outline="0" collapsedLevelsAreSubtotals="1" fieldPosition="0">
        <references count="1">
          <reference field="4294967294" count="1" selected="0">
            <x v="0"/>
          </reference>
        </references>
      </pivotArea>
    </format>
    <format dxfId="13">
      <pivotArea outline="0" collapsedLevelsAreSubtotals="1" fieldPosition="0"/>
    </format>
    <format dxfId="1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4B54B5-EF4A-48E1-9F9F-F51940989160}" name="Segment analysis" cacheId="60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S10:T14" firstHeaderRow="1" firstDataRow="1" firstDataCol="1"/>
  <pivotFields count="27">
    <pivotField showAll="0"/>
    <pivotField showAll="0"/>
    <pivotField showAll="0">
      <items count="553">
        <item x="6"/>
        <item x="20"/>
        <item x="1"/>
        <item x="26"/>
        <item x="0"/>
        <item x="4"/>
        <item x="9"/>
        <item x="14"/>
        <item x="45"/>
        <item x="34"/>
        <item x="39"/>
        <item x="37"/>
        <item x="46"/>
        <item x="47"/>
        <item x="41"/>
        <item x="87"/>
        <item x="71"/>
        <item x="75"/>
        <item x="77"/>
        <item x="63"/>
        <item x="51"/>
        <item x="89"/>
        <item x="117"/>
        <item x="108"/>
        <item x="134"/>
        <item x="124"/>
        <item x="107"/>
        <item x="156"/>
        <item x="169"/>
        <item x="165"/>
        <item x="174"/>
        <item x="171"/>
        <item x="168"/>
        <item x="160"/>
        <item x="146"/>
        <item x="143"/>
        <item x="167"/>
        <item x="161"/>
        <item x="201"/>
        <item x="181"/>
        <item x="218"/>
        <item x="188"/>
        <item x="185"/>
        <item x="223"/>
        <item x="184"/>
        <item x="189"/>
        <item x="206"/>
        <item x="219"/>
        <item x="199"/>
        <item x="210"/>
        <item x="259"/>
        <item x="262"/>
        <item x="226"/>
        <item x="252"/>
        <item x="229"/>
        <item x="250"/>
        <item x="260"/>
        <item x="234"/>
        <item x="267"/>
        <item x="270"/>
        <item x="268"/>
        <item x="286"/>
        <item x="269"/>
        <item x="272"/>
        <item x="290"/>
        <item x="295"/>
        <item x="273"/>
        <item x="285"/>
        <item x="294"/>
        <item x="316"/>
        <item x="325"/>
        <item x="335"/>
        <item x="341"/>
        <item x="315"/>
        <item x="344"/>
        <item x="333"/>
        <item x="353"/>
        <item x="306"/>
        <item x="334"/>
        <item x="348"/>
        <item x="356"/>
        <item x="339"/>
        <item x="350"/>
        <item x="364"/>
        <item x="332"/>
        <item x="396"/>
        <item x="398"/>
        <item x="416"/>
        <item x="411"/>
        <item x="367"/>
        <item x="376"/>
        <item x="412"/>
        <item x="384"/>
        <item x="407"/>
        <item x="425"/>
        <item x="440"/>
        <item x="462"/>
        <item x="423"/>
        <item x="428"/>
        <item x="449"/>
        <item x="482"/>
        <item x="463"/>
        <item x="427"/>
        <item x="421"/>
        <item x="472"/>
        <item x="476"/>
        <item x="473"/>
        <item x="470"/>
        <item x="543"/>
        <item x="533"/>
        <item x="519"/>
        <item x="545"/>
        <item x="534"/>
        <item x="542"/>
        <item x="551"/>
        <item x="504"/>
        <item x="535"/>
        <item x="529"/>
        <item x="547"/>
        <item x="520"/>
        <item x="513"/>
        <item x="544"/>
        <item x="538"/>
        <item x="549"/>
        <item x="12"/>
        <item x="22"/>
        <item x="18"/>
        <item x="50"/>
        <item x="35"/>
        <item x="32"/>
        <item x="36"/>
        <item x="82"/>
        <item x="55"/>
        <item x="54"/>
        <item x="76"/>
        <item x="57"/>
        <item x="84"/>
        <item x="53"/>
        <item x="52"/>
        <item x="93"/>
        <item x="64"/>
        <item x="132"/>
        <item x="113"/>
        <item x="128"/>
        <item x="118"/>
        <item x="115"/>
        <item x="101"/>
        <item x="116"/>
        <item x="127"/>
        <item x="141"/>
        <item x="98"/>
        <item x="121"/>
        <item x="105"/>
        <item x="135"/>
        <item x="176"/>
        <item x="151"/>
        <item x="154"/>
        <item x="178"/>
        <item x="166"/>
        <item x="212"/>
        <item x="195"/>
        <item x="203"/>
        <item x="190"/>
        <item x="222"/>
        <item x="215"/>
        <item x="246"/>
        <item x="230"/>
        <item x="231"/>
        <item x="245"/>
        <item x="240"/>
        <item x="247"/>
        <item x="232"/>
        <item x="277"/>
        <item x="297"/>
        <item x="288"/>
        <item x="298"/>
        <item x="292"/>
        <item x="266"/>
        <item x="300"/>
        <item x="327"/>
        <item x="314"/>
        <item x="347"/>
        <item x="310"/>
        <item x="322"/>
        <item x="359"/>
        <item x="337"/>
        <item x="320"/>
        <item x="361"/>
        <item x="362"/>
        <item x="303"/>
        <item x="357"/>
        <item x="302"/>
        <item x="321"/>
        <item x="308"/>
        <item x="401"/>
        <item x="379"/>
        <item x="409"/>
        <item x="391"/>
        <item x="383"/>
        <item x="390"/>
        <item x="410"/>
        <item x="399"/>
        <item x="382"/>
        <item x="365"/>
        <item x="394"/>
        <item x="484"/>
        <item x="471"/>
        <item x="481"/>
        <item x="459"/>
        <item x="485"/>
        <item x="480"/>
        <item x="477"/>
        <item x="456"/>
        <item x="435"/>
        <item x="460"/>
        <item x="445"/>
        <item x="458"/>
        <item x="426"/>
        <item x="453"/>
        <item x="465"/>
        <item x="424"/>
        <item x="469"/>
        <item x="536"/>
        <item x="527"/>
        <item x="506"/>
        <item x="497"/>
        <item x="518"/>
        <item x="541"/>
        <item x="539"/>
        <item x="532"/>
        <item x="523"/>
        <item x="493"/>
        <item x="498"/>
        <item x="550"/>
        <item x="492"/>
        <item x="502"/>
        <item x="509"/>
        <item x="501"/>
        <item x="531"/>
        <item x="524"/>
        <item x="5"/>
        <item x="16"/>
        <item x="17"/>
        <item x="11"/>
        <item x="23"/>
        <item x="40"/>
        <item x="28"/>
        <item x="33"/>
        <item x="31"/>
        <item x="49"/>
        <item x="61"/>
        <item x="60"/>
        <item x="83"/>
        <item x="86"/>
        <item x="59"/>
        <item x="67"/>
        <item x="92"/>
        <item x="91"/>
        <item x="65"/>
        <item x="58"/>
        <item x="56"/>
        <item x="70"/>
        <item x="94"/>
        <item x="129"/>
        <item x="100"/>
        <item x="110"/>
        <item x="130"/>
        <item x="112"/>
        <item x="106"/>
        <item x="96"/>
        <item x="140"/>
        <item x="122"/>
        <item x="99"/>
        <item x="109"/>
        <item x="95"/>
        <item x="97"/>
        <item x="139"/>
        <item x="103"/>
        <item x="123"/>
        <item x="145"/>
        <item x="173"/>
        <item x="153"/>
        <item x="158"/>
        <item x="179"/>
        <item x="159"/>
        <item x="157"/>
        <item x="164"/>
        <item x="170"/>
        <item x="155"/>
        <item x="172"/>
        <item x="163"/>
        <item x="175"/>
        <item x="162"/>
        <item x="183"/>
        <item x="208"/>
        <item x="214"/>
        <item x="200"/>
        <item x="209"/>
        <item x="186"/>
        <item x="216"/>
        <item x="187"/>
        <item x="192"/>
        <item x="180"/>
        <item x="258"/>
        <item x="254"/>
        <item x="248"/>
        <item x="225"/>
        <item x="244"/>
        <item x="257"/>
        <item x="241"/>
        <item x="235"/>
        <item x="243"/>
        <item x="249"/>
        <item x="263"/>
        <item x="256"/>
        <item x="293"/>
        <item x="280"/>
        <item x="265"/>
        <item x="299"/>
        <item x="271"/>
        <item x="289"/>
        <item x="281"/>
        <item x="282"/>
        <item x="276"/>
        <item x="275"/>
        <item x="291"/>
        <item x="351"/>
        <item x="345"/>
        <item x="311"/>
        <item x="342"/>
        <item x="323"/>
        <item x="307"/>
        <item x="363"/>
        <item x="352"/>
        <item x="312"/>
        <item x="317"/>
        <item x="329"/>
        <item x="301"/>
        <item x="355"/>
        <item x="309"/>
        <item x="370"/>
        <item x="385"/>
        <item x="393"/>
        <item x="414"/>
        <item x="372"/>
        <item x="392"/>
        <item x="369"/>
        <item x="388"/>
        <item x="404"/>
        <item x="400"/>
        <item x="381"/>
        <item x="403"/>
        <item x="438"/>
        <item x="436"/>
        <item x="434"/>
        <item x="448"/>
        <item x="464"/>
        <item x="429"/>
        <item x="432"/>
        <item x="474"/>
        <item x="437"/>
        <item x="433"/>
        <item x="487"/>
        <item x="450"/>
        <item x="420"/>
        <item x="439"/>
        <item x="478"/>
        <item x="466"/>
        <item x="444"/>
        <item x="467"/>
        <item x="475"/>
        <item x="451"/>
        <item x="525"/>
        <item x="546"/>
        <item x="512"/>
        <item x="500"/>
        <item x="514"/>
        <item x="508"/>
        <item x="496"/>
        <item x="507"/>
        <item x="495"/>
        <item x="505"/>
        <item x="494"/>
        <item x="13"/>
        <item x="21"/>
        <item x="8"/>
        <item x="15"/>
        <item x="10"/>
        <item x="2"/>
        <item x="25"/>
        <item x="7"/>
        <item x="3"/>
        <item x="19"/>
        <item x="24"/>
        <item x="27"/>
        <item x="42"/>
        <item x="44"/>
        <item x="38"/>
        <item x="48"/>
        <item x="29"/>
        <item x="30"/>
        <item x="43"/>
        <item x="69"/>
        <item x="80"/>
        <item x="74"/>
        <item x="78"/>
        <item x="90"/>
        <item x="85"/>
        <item x="79"/>
        <item x="81"/>
        <item x="62"/>
        <item x="88"/>
        <item x="72"/>
        <item x="68"/>
        <item x="66"/>
        <item x="73"/>
        <item x="131"/>
        <item x="102"/>
        <item x="133"/>
        <item x="111"/>
        <item x="114"/>
        <item x="119"/>
        <item x="126"/>
        <item x="142"/>
        <item x="137"/>
        <item x="125"/>
        <item x="120"/>
        <item x="104"/>
        <item x="136"/>
        <item x="138"/>
        <item x="149"/>
        <item x="147"/>
        <item x="152"/>
        <item x="144"/>
        <item x="148"/>
        <item x="150"/>
        <item x="177"/>
        <item x="191"/>
        <item x="205"/>
        <item x="221"/>
        <item x="202"/>
        <item x="182"/>
        <item x="211"/>
        <item x="194"/>
        <item x="217"/>
        <item x="220"/>
        <item x="198"/>
        <item x="197"/>
        <item x="196"/>
        <item x="213"/>
        <item x="207"/>
        <item x="193"/>
        <item x="204"/>
        <item x="236"/>
        <item x="253"/>
        <item x="224"/>
        <item x="238"/>
        <item x="237"/>
        <item x="261"/>
        <item x="228"/>
        <item x="242"/>
        <item x="233"/>
        <item x="255"/>
        <item x="227"/>
        <item x="251"/>
        <item x="239"/>
        <item x="264"/>
        <item x="284"/>
        <item x="274"/>
        <item x="283"/>
        <item x="279"/>
        <item x="296"/>
        <item x="278"/>
        <item x="287"/>
        <item x="328"/>
        <item x="343"/>
        <item x="304"/>
        <item x="360"/>
        <item x="313"/>
        <item x="349"/>
        <item x="319"/>
        <item x="331"/>
        <item x="305"/>
        <item x="358"/>
        <item x="336"/>
        <item x="340"/>
        <item x="318"/>
        <item x="324"/>
        <item x="326"/>
        <item x="338"/>
        <item x="330"/>
        <item x="346"/>
        <item x="354"/>
        <item x="368"/>
        <item x="375"/>
        <item x="378"/>
        <item x="406"/>
        <item x="371"/>
        <item x="408"/>
        <item x="387"/>
        <item x="380"/>
        <item x="386"/>
        <item x="413"/>
        <item x="415"/>
        <item x="395"/>
        <item x="366"/>
        <item x="374"/>
        <item x="377"/>
        <item x="389"/>
        <item x="405"/>
        <item x="373"/>
        <item x="402"/>
        <item x="397"/>
        <item x="443"/>
        <item x="455"/>
        <item x="418"/>
        <item x="419"/>
        <item x="446"/>
        <item x="447"/>
        <item x="483"/>
        <item x="454"/>
        <item x="441"/>
        <item x="431"/>
        <item x="461"/>
        <item x="468"/>
        <item x="430"/>
        <item x="452"/>
        <item x="479"/>
        <item x="457"/>
        <item x="422"/>
        <item x="417"/>
        <item x="442"/>
        <item x="486"/>
        <item x="511"/>
        <item x="516"/>
        <item x="530"/>
        <item x="540"/>
        <item x="510"/>
        <item x="528"/>
        <item x="491"/>
        <item x="489"/>
        <item x="499"/>
        <item x="522"/>
        <item x="521"/>
        <item x="548"/>
        <item x="488"/>
        <item x="517"/>
        <item x="537"/>
        <item x="515"/>
        <item x="526"/>
        <item x="490"/>
        <item x="503"/>
        <item t="default"/>
      </items>
    </pivotField>
    <pivotField showAll="0"/>
    <pivotField showAll="0">
      <items count="5">
        <item x="2"/>
        <item x="3"/>
        <item x="0"/>
        <item x="1"/>
        <item t="default"/>
      </items>
    </pivotField>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2"/>
    </i>
    <i>
      <x v="1"/>
    </i>
    <i>
      <x/>
    </i>
    <i t="grand">
      <x/>
    </i>
  </rowItems>
  <colItems count="1">
    <i/>
  </colItems>
  <dataFields count="1">
    <dataField name="Sum of Sales" fld="17" baseField="0" baseItem="0" numFmtId="170"/>
  </dataFields>
  <formats count="2">
    <format dxfId="16">
      <pivotArea grandRow="1" outline="0" collapsedLevelsAreSubtotals="1"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75D7C7-80ED-48D0-A4AF-37E6AAB39F70}" name="Kpi Table" cacheId="60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F4:H5" firstHeaderRow="0" firstDataRow="1" firstDataCol="0"/>
  <pivotFields count="27">
    <pivotField showAll="0"/>
    <pivotField showAll="0"/>
    <pivotField showAll="0">
      <items count="553">
        <item x="6"/>
        <item x="20"/>
        <item x="1"/>
        <item x="26"/>
        <item x="0"/>
        <item x="4"/>
        <item x="9"/>
        <item x="14"/>
        <item x="45"/>
        <item x="34"/>
        <item x="39"/>
        <item x="37"/>
        <item x="46"/>
        <item x="47"/>
        <item x="41"/>
        <item x="87"/>
        <item x="71"/>
        <item x="75"/>
        <item x="77"/>
        <item x="63"/>
        <item x="51"/>
        <item x="89"/>
        <item x="117"/>
        <item x="108"/>
        <item x="134"/>
        <item x="124"/>
        <item x="107"/>
        <item x="156"/>
        <item x="169"/>
        <item x="165"/>
        <item x="174"/>
        <item x="171"/>
        <item x="168"/>
        <item x="160"/>
        <item x="146"/>
        <item x="143"/>
        <item x="167"/>
        <item x="161"/>
        <item x="201"/>
        <item x="181"/>
        <item x="218"/>
        <item x="188"/>
        <item x="185"/>
        <item x="223"/>
        <item x="184"/>
        <item x="189"/>
        <item x="206"/>
        <item x="219"/>
        <item x="199"/>
        <item x="210"/>
        <item x="259"/>
        <item x="262"/>
        <item x="226"/>
        <item x="252"/>
        <item x="229"/>
        <item x="250"/>
        <item x="260"/>
        <item x="234"/>
        <item x="267"/>
        <item x="270"/>
        <item x="268"/>
        <item x="286"/>
        <item x="269"/>
        <item x="272"/>
        <item x="290"/>
        <item x="295"/>
        <item x="273"/>
        <item x="285"/>
        <item x="294"/>
        <item x="316"/>
        <item x="325"/>
        <item x="335"/>
        <item x="341"/>
        <item x="315"/>
        <item x="344"/>
        <item x="333"/>
        <item x="353"/>
        <item x="306"/>
        <item x="334"/>
        <item x="348"/>
        <item x="356"/>
        <item x="339"/>
        <item x="350"/>
        <item x="364"/>
        <item x="332"/>
        <item x="396"/>
        <item x="398"/>
        <item x="416"/>
        <item x="411"/>
        <item x="367"/>
        <item x="376"/>
        <item x="412"/>
        <item x="384"/>
        <item x="407"/>
        <item x="425"/>
        <item x="440"/>
        <item x="462"/>
        <item x="423"/>
        <item x="428"/>
        <item x="449"/>
        <item x="482"/>
        <item x="463"/>
        <item x="427"/>
        <item x="421"/>
        <item x="472"/>
        <item x="476"/>
        <item x="473"/>
        <item x="470"/>
        <item x="543"/>
        <item x="533"/>
        <item x="519"/>
        <item x="545"/>
        <item x="534"/>
        <item x="542"/>
        <item x="551"/>
        <item x="504"/>
        <item x="535"/>
        <item x="529"/>
        <item x="547"/>
        <item x="520"/>
        <item x="513"/>
        <item x="544"/>
        <item x="538"/>
        <item x="549"/>
        <item x="12"/>
        <item x="22"/>
        <item x="18"/>
        <item x="50"/>
        <item x="35"/>
        <item x="32"/>
        <item x="36"/>
        <item x="82"/>
        <item x="55"/>
        <item x="54"/>
        <item x="76"/>
        <item x="57"/>
        <item x="84"/>
        <item x="53"/>
        <item x="52"/>
        <item x="93"/>
        <item x="64"/>
        <item x="132"/>
        <item x="113"/>
        <item x="128"/>
        <item x="118"/>
        <item x="115"/>
        <item x="101"/>
        <item x="116"/>
        <item x="127"/>
        <item x="141"/>
        <item x="98"/>
        <item x="121"/>
        <item x="105"/>
        <item x="135"/>
        <item x="176"/>
        <item x="151"/>
        <item x="154"/>
        <item x="178"/>
        <item x="166"/>
        <item x="212"/>
        <item x="195"/>
        <item x="203"/>
        <item x="190"/>
        <item x="222"/>
        <item x="215"/>
        <item x="246"/>
        <item x="230"/>
        <item x="231"/>
        <item x="245"/>
        <item x="240"/>
        <item x="247"/>
        <item x="232"/>
        <item x="277"/>
        <item x="297"/>
        <item x="288"/>
        <item x="298"/>
        <item x="292"/>
        <item x="266"/>
        <item x="300"/>
        <item x="327"/>
        <item x="314"/>
        <item x="347"/>
        <item x="310"/>
        <item x="322"/>
        <item x="359"/>
        <item x="337"/>
        <item x="320"/>
        <item x="361"/>
        <item x="362"/>
        <item x="303"/>
        <item x="357"/>
        <item x="302"/>
        <item x="321"/>
        <item x="308"/>
        <item x="401"/>
        <item x="379"/>
        <item x="409"/>
        <item x="391"/>
        <item x="383"/>
        <item x="390"/>
        <item x="410"/>
        <item x="399"/>
        <item x="382"/>
        <item x="365"/>
        <item x="394"/>
        <item x="484"/>
        <item x="471"/>
        <item x="481"/>
        <item x="459"/>
        <item x="485"/>
        <item x="480"/>
        <item x="477"/>
        <item x="456"/>
        <item x="435"/>
        <item x="460"/>
        <item x="445"/>
        <item x="458"/>
        <item x="426"/>
        <item x="453"/>
        <item x="465"/>
        <item x="424"/>
        <item x="469"/>
        <item x="536"/>
        <item x="527"/>
        <item x="506"/>
        <item x="497"/>
        <item x="518"/>
        <item x="541"/>
        <item x="539"/>
        <item x="532"/>
        <item x="523"/>
        <item x="493"/>
        <item x="498"/>
        <item x="550"/>
        <item x="492"/>
        <item x="502"/>
        <item x="509"/>
        <item x="501"/>
        <item x="531"/>
        <item x="524"/>
        <item x="5"/>
        <item x="16"/>
        <item x="17"/>
        <item x="11"/>
        <item x="23"/>
        <item x="40"/>
        <item x="28"/>
        <item x="33"/>
        <item x="31"/>
        <item x="49"/>
        <item x="61"/>
        <item x="60"/>
        <item x="83"/>
        <item x="86"/>
        <item x="59"/>
        <item x="67"/>
        <item x="92"/>
        <item x="91"/>
        <item x="65"/>
        <item x="58"/>
        <item x="56"/>
        <item x="70"/>
        <item x="94"/>
        <item x="129"/>
        <item x="100"/>
        <item x="110"/>
        <item x="130"/>
        <item x="112"/>
        <item x="106"/>
        <item x="96"/>
        <item x="140"/>
        <item x="122"/>
        <item x="99"/>
        <item x="109"/>
        <item x="95"/>
        <item x="97"/>
        <item x="139"/>
        <item x="103"/>
        <item x="123"/>
        <item x="145"/>
        <item x="173"/>
        <item x="153"/>
        <item x="158"/>
        <item x="179"/>
        <item x="159"/>
        <item x="157"/>
        <item x="164"/>
        <item x="170"/>
        <item x="155"/>
        <item x="172"/>
        <item x="163"/>
        <item x="175"/>
        <item x="162"/>
        <item x="183"/>
        <item x="208"/>
        <item x="214"/>
        <item x="200"/>
        <item x="209"/>
        <item x="186"/>
        <item x="216"/>
        <item x="187"/>
        <item x="192"/>
        <item x="180"/>
        <item x="258"/>
        <item x="254"/>
        <item x="248"/>
        <item x="225"/>
        <item x="244"/>
        <item x="257"/>
        <item x="241"/>
        <item x="235"/>
        <item x="243"/>
        <item x="249"/>
        <item x="263"/>
        <item x="256"/>
        <item x="293"/>
        <item x="280"/>
        <item x="265"/>
        <item x="299"/>
        <item x="271"/>
        <item x="289"/>
        <item x="281"/>
        <item x="282"/>
        <item x="276"/>
        <item x="275"/>
        <item x="291"/>
        <item x="351"/>
        <item x="345"/>
        <item x="311"/>
        <item x="342"/>
        <item x="323"/>
        <item x="307"/>
        <item x="363"/>
        <item x="352"/>
        <item x="312"/>
        <item x="317"/>
        <item x="329"/>
        <item x="301"/>
        <item x="355"/>
        <item x="309"/>
        <item x="370"/>
        <item x="385"/>
        <item x="393"/>
        <item x="414"/>
        <item x="372"/>
        <item x="392"/>
        <item x="369"/>
        <item x="388"/>
        <item x="404"/>
        <item x="400"/>
        <item x="381"/>
        <item x="403"/>
        <item x="438"/>
        <item x="436"/>
        <item x="434"/>
        <item x="448"/>
        <item x="464"/>
        <item x="429"/>
        <item x="432"/>
        <item x="474"/>
        <item x="437"/>
        <item x="433"/>
        <item x="487"/>
        <item x="450"/>
        <item x="420"/>
        <item x="439"/>
        <item x="478"/>
        <item x="466"/>
        <item x="444"/>
        <item x="467"/>
        <item x="475"/>
        <item x="451"/>
        <item x="525"/>
        <item x="546"/>
        <item x="512"/>
        <item x="500"/>
        <item x="514"/>
        <item x="508"/>
        <item x="496"/>
        <item x="507"/>
        <item x="495"/>
        <item x="505"/>
        <item x="494"/>
        <item x="13"/>
        <item x="21"/>
        <item x="8"/>
        <item x="15"/>
        <item x="10"/>
        <item x="2"/>
        <item x="25"/>
        <item x="7"/>
        <item x="3"/>
        <item x="19"/>
        <item x="24"/>
        <item x="27"/>
        <item x="42"/>
        <item x="44"/>
        <item x="38"/>
        <item x="48"/>
        <item x="29"/>
        <item x="30"/>
        <item x="43"/>
        <item x="69"/>
        <item x="80"/>
        <item x="74"/>
        <item x="78"/>
        <item x="90"/>
        <item x="85"/>
        <item x="79"/>
        <item x="81"/>
        <item x="62"/>
        <item x="88"/>
        <item x="72"/>
        <item x="68"/>
        <item x="66"/>
        <item x="73"/>
        <item x="131"/>
        <item x="102"/>
        <item x="133"/>
        <item x="111"/>
        <item x="114"/>
        <item x="119"/>
        <item x="126"/>
        <item x="142"/>
        <item x="137"/>
        <item x="125"/>
        <item x="120"/>
        <item x="104"/>
        <item x="136"/>
        <item x="138"/>
        <item x="149"/>
        <item x="147"/>
        <item x="152"/>
        <item x="144"/>
        <item x="148"/>
        <item x="150"/>
        <item x="177"/>
        <item x="191"/>
        <item x="205"/>
        <item x="221"/>
        <item x="202"/>
        <item x="182"/>
        <item x="211"/>
        <item x="194"/>
        <item x="217"/>
        <item x="220"/>
        <item x="198"/>
        <item x="197"/>
        <item x="196"/>
        <item x="213"/>
        <item x="207"/>
        <item x="193"/>
        <item x="204"/>
        <item x="236"/>
        <item x="253"/>
        <item x="224"/>
        <item x="238"/>
        <item x="237"/>
        <item x="261"/>
        <item x="228"/>
        <item x="242"/>
        <item x="233"/>
        <item x="255"/>
        <item x="227"/>
        <item x="251"/>
        <item x="239"/>
        <item x="264"/>
        <item x="284"/>
        <item x="274"/>
        <item x="283"/>
        <item x="279"/>
        <item x="296"/>
        <item x="278"/>
        <item x="287"/>
        <item x="328"/>
        <item x="343"/>
        <item x="304"/>
        <item x="360"/>
        <item x="313"/>
        <item x="349"/>
        <item x="319"/>
        <item x="331"/>
        <item x="305"/>
        <item x="358"/>
        <item x="336"/>
        <item x="340"/>
        <item x="318"/>
        <item x="324"/>
        <item x="326"/>
        <item x="338"/>
        <item x="330"/>
        <item x="346"/>
        <item x="354"/>
        <item x="368"/>
        <item x="375"/>
        <item x="378"/>
        <item x="406"/>
        <item x="371"/>
        <item x="408"/>
        <item x="387"/>
        <item x="380"/>
        <item x="386"/>
        <item x="413"/>
        <item x="415"/>
        <item x="395"/>
        <item x="366"/>
        <item x="374"/>
        <item x="377"/>
        <item x="389"/>
        <item x="405"/>
        <item x="373"/>
        <item x="402"/>
        <item x="397"/>
        <item x="443"/>
        <item x="455"/>
        <item x="418"/>
        <item x="419"/>
        <item x="446"/>
        <item x="447"/>
        <item x="483"/>
        <item x="454"/>
        <item x="441"/>
        <item x="431"/>
        <item x="461"/>
        <item x="468"/>
        <item x="430"/>
        <item x="452"/>
        <item x="479"/>
        <item x="457"/>
        <item x="422"/>
        <item x="417"/>
        <item x="442"/>
        <item x="486"/>
        <item x="511"/>
        <item x="516"/>
        <item x="530"/>
        <item x="540"/>
        <item x="510"/>
        <item x="528"/>
        <item x="491"/>
        <item x="489"/>
        <item x="499"/>
        <item x="522"/>
        <item x="521"/>
        <item x="548"/>
        <item x="488"/>
        <item x="517"/>
        <item x="537"/>
        <item x="515"/>
        <item x="526"/>
        <item x="490"/>
        <item x="503"/>
        <item t="default"/>
      </items>
    </pivotField>
    <pivotField showAll="0"/>
    <pivotField showAll="0">
      <items count="5">
        <item x="2"/>
        <item x="3"/>
        <item x="0"/>
        <item x="1"/>
        <item t="default"/>
      </items>
    </pivotField>
    <pivotField showAll="0"/>
    <pivotField showAll="0"/>
    <pivotField showAll="0">
      <items count="4">
        <item x="2"/>
        <item x="0"/>
        <item x="1"/>
        <item t="default"/>
      </items>
    </pivotField>
    <pivotField showAll="0"/>
    <pivotField showAll="0"/>
    <pivotField showAll="0"/>
    <pivotField showAll="0"/>
    <pivotField showAll="0">
      <items count="5">
        <item x="3"/>
        <item x="2"/>
        <item x="0"/>
        <item x="1"/>
        <item t="default"/>
      </items>
    </pivotField>
    <pivotField showAll="0"/>
    <pivotField showAll="0">
      <items count="4">
        <item x="2"/>
        <item x="0"/>
        <item x="1"/>
        <item t="default"/>
      </items>
    </pivotField>
    <pivotField showAll="0"/>
    <pivotField showAll="0"/>
    <pivotField dataField="1" showAll="0"/>
    <pivotField dataField="1"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numFmtId="164"/>
    <dataField name="Sum of Profit" fld="20" baseField="0" baseItem="0" numFmtId="164"/>
    <dataField name="Sum of Quantity" fld="18" baseField="0" baseItem="0"/>
  </dataFields>
  <formats count="1">
    <format dxfId="17">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0884F7-56AF-4725-A67D-0628F12F74F8}" name="Region Analysis" cacheId="60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N10:O15" firstHeaderRow="1" firstDataRow="1" firstDataCol="1"/>
  <pivotFields count="27">
    <pivotField showAll="0"/>
    <pivotField showAll="0"/>
    <pivotField showAll="0">
      <items count="553">
        <item x="6"/>
        <item x="20"/>
        <item x="1"/>
        <item x="26"/>
        <item x="0"/>
        <item x="4"/>
        <item x="9"/>
        <item x="14"/>
        <item x="45"/>
        <item x="34"/>
        <item x="39"/>
        <item x="37"/>
        <item x="46"/>
        <item x="47"/>
        <item x="41"/>
        <item x="87"/>
        <item x="71"/>
        <item x="75"/>
        <item x="77"/>
        <item x="63"/>
        <item x="51"/>
        <item x="89"/>
        <item x="117"/>
        <item x="108"/>
        <item x="134"/>
        <item x="124"/>
        <item x="107"/>
        <item x="156"/>
        <item x="169"/>
        <item x="165"/>
        <item x="174"/>
        <item x="171"/>
        <item x="168"/>
        <item x="160"/>
        <item x="146"/>
        <item x="143"/>
        <item x="167"/>
        <item x="161"/>
        <item x="201"/>
        <item x="181"/>
        <item x="218"/>
        <item x="188"/>
        <item x="185"/>
        <item x="223"/>
        <item x="184"/>
        <item x="189"/>
        <item x="206"/>
        <item x="219"/>
        <item x="199"/>
        <item x="210"/>
        <item x="259"/>
        <item x="262"/>
        <item x="226"/>
        <item x="252"/>
        <item x="229"/>
        <item x="250"/>
        <item x="260"/>
        <item x="234"/>
        <item x="267"/>
        <item x="270"/>
        <item x="268"/>
        <item x="286"/>
        <item x="269"/>
        <item x="272"/>
        <item x="290"/>
        <item x="295"/>
        <item x="273"/>
        <item x="285"/>
        <item x="294"/>
        <item x="316"/>
        <item x="325"/>
        <item x="335"/>
        <item x="341"/>
        <item x="315"/>
        <item x="344"/>
        <item x="333"/>
        <item x="353"/>
        <item x="306"/>
        <item x="334"/>
        <item x="348"/>
        <item x="356"/>
        <item x="339"/>
        <item x="350"/>
        <item x="364"/>
        <item x="332"/>
        <item x="396"/>
        <item x="398"/>
        <item x="416"/>
        <item x="411"/>
        <item x="367"/>
        <item x="376"/>
        <item x="412"/>
        <item x="384"/>
        <item x="407"/>
        <item x="425"/>
        <item x="440"/>
        <item x="462"/>
        <item x="423"/>
        <item x="428"/>
        <item x="449"/>
        <item x="482"/>
        <item x="463"/>
        <item x="427"/>
        <item x="421"/>
        <item x="472"/>
        <item x="476"/>
        <item x="473"/>
        <item x="470"/>
        <item x="543"/>
        <item x="533"/>
        <item x="519"/>
        <item x="545"/>
        <item x="534"/>
        <item x="542"/>
        <item x="551"/>
        <item x="504"/>
        <item x="535"/>
        <item x="529"/>
        <item x="547"/>
        <item x="520"/>
        <item x="513"/>
        <item x="544"/>
        <item x="538"/>
        <item x="549"/>
        <item x="12"/>
        <item x="22"/>
        <item x="18"/>
        <item x="50"/>
        <item x="35"/>
        <item x="32"/>
        <item x="36"/>
        <item x="82"/>
        <item x="55"/>
        <item x="54"/>
        <item x="76"/>
        <item x="57"/>
        <item x="84"/>
        <item x="53"/>
        <item x="52"/>
        <item x="93"/>
        <item x="64"/>
        <item x="132"/>
        <item x="113"/>
        <item x="128"/>
        <item x="118"/>
        <item x="115"/>
        <item x="101"/>
        <item x="116"/>
        <item x="127"/>
        <item x="141"/>
        <item x="98"/>
        <item x="121"/>
        <item x="105"/>
        <item x="135"/>
        <item x="176"/>
        <item x="151"/>
        <item x="154"/>
        <item x="178"/>
        <item x="166"/>
        <item x="212"/>
        <item x="195"/>
        <item x="203"/>
        <item x="190"/>
        <item x="222"/>
        <item x="215"/>
        <item x="246"/>
        <item x="230"/>
        <item x="231"/>
        <item x="245"/>
        <item x="240"/>
        <item x="247"/>
        <item x="232"/>
        <item x="277"/>
        <item x="297"/>
        <item x="288"/>
        <item x="298"/>
        <item x="292"/>
        <item x="266"/>
        <item x="300"/>
        <item x="327"/>
        <item x="314"/>
        <item x="347"/>
        <item x="310"/>
        <item x="322"/>
        <item x="359"/>
        <item x="337"/>
        <item x="320"/>
        <item x="361"/>
        <item x="362"/>
        <item x="303"/>
        <item x="357"/>
        <item x="302"/>
        <item x="321"/>
        <item x="308"/>
        <item x="401"/>
        <item x="379"/>
        <item x="409"/>
        <item x="391"/>
        <item x="383"/>
        <item x="390"/>
        <item x="410"/>
        <item x="399"/>
        <item x="382"/>
        <item x="365"/>
        <item x="394"/>
        <item x="484"/>
        <item x="471"/>
        <item x="481"/>
        <item x="459"/>
        <item x="485"/>
        <item x="480"/>
        <item x="477"/>
        <item x="456"/>
        <item x="435"/>
        <item x="460"/>
        <item x="445"/>
        <item x="458"/>
        <item x="426"/>
        <item x="453"/>
        <item x="465"/>
        <item x="424"/>
        <item x="469"/>
        <item x="536"/>
        <item x="527"/>
        <item x="506"/>
        <item x="497"/>
        <item x="518"/>
        <item x="541"/>
        <item x="539"/>
        <item x="532"/>
        <item x="523"/>
        <item x="493"/>
        <item x="498"/>
        <item x="550"/>
        <item x="492"/>
        <item x="502"/>
        <item x="509"/>
        <item x="501"/>
        <item x="531"/>
        <item x="524"/>
        <item x="5"/>
        <item x="16"/>
        <item x="17"/>
        <item x="11"/>
        <item x="23"/>
        <item x="40"/>
        <item x="28"/>
        <item x="33"/>
        <item x="31"/>
        <item x="49"/>
        <item x="61"/>
        <item x="60"/>
        <item x="83"/>
        <item x="86"/>
        <item x="59"/>
        <item x="67"/>
        <item x="92"/>
        <item x="91"/>
        <item x="65"/>
        <item x="58"/>
        <item x="56"/>
        <item x="70"/>
        <item x="94"/>
        <item x="129"/>
        <item x="100"/>
        <item x="110"/>
        <item x="130"/>
        <item x="112"/>
        <item x="106"/>
        <item x="96"/>
        <item x="140"/>
        <item x="122"/>
        <item x="99"/>
        <item x="109"/>
        <item x="95"/>
        <item x="97"/>
        <item x="139"/>
        <item x="103"/>
        <item x="123"/>
        <item x="145"/>
        <item x="173"/>
        <item x="153"/>
        <item x="158"/>
        <item x="179"/>
        <item x="159"/>
        <item x="157"/>
        <item x="164"/>
        <item x="170"/>
        <item x="155"/>
        <item x="172"/>
        <item x="163"/>
        <item x="175"/>
        <item x="162"/>
        <item x="183"/>
        <item x="208"/>
        <item x="214"/>
        <item x="200"/>
        <item x="209"/>
        <item x="186"/>
        <item x="216"/>
        <item x="187"/>
        <item x="192"/>
        <item x="180"/>
        <item x="258"/>
        <item x="254"/>
        <item x="248"/>
        <item x="225"/>
        <item x="244"/>
        <item x="257"/>
        <item x="241"/>
        <item x="235"/>
        <item x="243"/>
        <item x="249"/>
        <item x="263"/>
        <item x="256"/>
        <item x="293"/>
        <item x="280"/>
        <item x="265"/>
        <item x="299"/>
        <item x="271"/>
        <item x="289"/>
        <item x="281"/>
        <item x="282"/>
        <item x="276"/>
        <item x="275"/>
        <item x="291"/>
        <item x="351"/>
        <item x="345"/>
        <item x="311"/>
        <item x="342"/>
        <item x="323"/>
        <item x="307"/>
        <item x="363"/>
        <item x="352"/>
        <item x="312"/>
        <item x="317"/>
        <item x="329"/>
        <item x="301"/>
        <item x="355"/>
        <item x="309"/>
        <item x="370"/>
        <item x="385"/>
        <item x="393"/>
        <item x="414"/>
        <item x="372"/>
        <item x="392"/>
        <item x="369"/>
        <item x="388"/>
        <item x="404"/>
        <item x="400"/>
        <item x="381"/>
        <item x="403"/>
        <item x="438"/>
        <item x="436"/>
        <item x="434"/>
        <item x="448"/>
        <item x="464"/>
        <item x="429"/>
        <item x="432"/>
        <item x="474"/>
        <item x="437"/>
        <item x="433"/>
        <item x="487"/>
        <item x="450"/>
        <item x="420"/>
        <item x="439"/>
        <item x="478"/>
        <item x="466"/>
        <item x="444"/>
        <item x="467"/>
        <item x="475"/>
        <item x="451"/>
        <item x="525"/>
        <item x="546"/>
        <item x="512"/>
        <item x="500"/>
        <item x="514"/>
        <item x="508"/>
        <item x="496"/>
        <item x="507"/>
        <item x="495"/>
        <item x="505"/>
        <item x="494"/>
        <item x="13"/>
        <item x="21"/>
        <item x="8"/>
        <item x="15"/>
        <item x="10"/>
        <item x="2"/>
        <item x="25"/>
        <item x="7"/>
        <item x="3"/>
        <item x="19"/>
        <item x="24"/>
        <item x="27"/>
        <item x="42"/>
        <item x="44"/>
        <item x="38"/>
        <item x="48"/>
        <item x="29"/>
        <item x="30"/>
        <item x="43"/>
        <item x="69"/>
        <item x="80"/>
        <item x="74"/>
        <item x="78"/>
        <item x="90"/>
        <item x="85"/>
        <item x="79"/>
        <item x="81"/>
        <item x="62"/>
        <item x="88"/>
        <item x="72"/>
        <item x="68"/>
        <item x="66"/>
        <item x="73"/>
        <item x="131"/>
        <item x="102"/>
        <item x="133"/>
        <item x="111"/>
        <item x="114"/>
        <item x="119"/>
        <item x="126"/>
        <item x="142"/>
        <item x="137"/>
        <item x="125"/>
        <item x="120"/>
        <item x="104"/>
        <item x="136"/>
        <item x="138"/>
        <item x="149"/>
        <item x="147"/>
        <item x="152"/>
        <item x="144"/>
        <item x="148"/>
        <item x="150"/>
        <item x="177"/>
        <item x="191"/>
        <item x="205"/>
        <item x="221"/>
        <item x="202"/>
        <item x="182"/>
        <item x="211"/>
        <item x="194"/>
        <item x="217"/>
        <item x="220"/>
        <item x="198"/>
        <item x="197"/>
        <item x="196"/>
        <item x="213"/>
        <item x="207"/>
        <item x="193"/>
        <item x="204"/>
        <item x="236"/>
        <item x="253"/>
        <item x="224"/>
        <item x="238"/>
        <item x="237"/>
        <item x="261"/>
        <item x="228"/>
        <item x="242"/>
        <item x="233"/>
        <item x="255"/>
        <item x="227"/>
        <item x="251"/>
        <item x="239"/>
        <item x="264"/>
        <item x="284"/>
        <item x="274"/>
        <item x="283"/>
        <item x="279"/>
        <item x="296"/>
        <item x="278"/>
        <item x="287"/>
        <item x="328"/>
        <item x="343"/>
        <item x="304"/>
        <item x="360"/>
        <item x="313"/>
        <item x="349"/>
        <item x="319"/>
        <item x="331"/>
        <item x="305"/>
        <item x="358"/>
        <item x="336"/>
        <item x="340"/>
        <item x="318"/>
        <item x="324"/>
        <item x="326"/>
        <item x="338"/>
        <item x="330"/>
        <item x="346"/>
        <item x="354"/>
        <item x="368"/>
        <item x="375"/>
        <item x="378"/>
        <item x="406"/>
        <item x="371"/>
        <item x="408"/>
        <item x="387"/>
        <item x="380"/>
        <item x="386"/>
        <item x="413"/>
        <item x="415"/>
        <item x="395"/>
        <item x="366"/>
        <item x="374"/>
        <item x="377"/>
        <item x="389"/>
        <item x="405"/>
        <item x="373"/>
        <item x="402"/>
        <item x="397"/>
        <item x="443"/>
        <item x="455"/>
        <item x="418"/>
        <item x="419"/>
        <item x="446"/>
        <item x="447"/>
        <item x="483"/>
        <item x="454"/>
        <item x="441"/>
        <item x="431"/>
        <item x="461"/>
        <item x="468"/>
        <item x="430"/>
        <item x="452"/>
        <item x="479"/>
        <item x="457"/>
        <item x="422"/>
        <item x="417"/>
        <item x="442"/>
        <item x="486"/>
        <item x="511"/>
        <item x="516"/>
        <item x="530"/>
        <item x="540"/>
        <item x="510"/>
        <item x="528"/>
        <item x="491"/>
        <item x="489"/>
        <item x="499"/>
        <item x="522"/>
        <item x="521"/>
        <item x="548"/>
        <item x="488"/>
        <item x="517"/>
        <item x="537"/>
        <item x="515"/>
        <item x="526"/>
        <item x="490"/>
        <item x="503"/>
        <item t="default"/>
      </items>
    </pivotField>
    <pivotField showAll="0"/>
    <pivotField showAll="0">
      <items count="5">
        <item x="2"/>
        <item x="3"/>
        <item x="0"/>
        <item x="1"/>
        <item t="default"/>
      </items>
    </pivotField>
    <pivotField showAll="0"/>
    <pivotField showAll="0"/>
    <pivotField showAll="0">
      <items count="4">
        <item x="2"/>
        <item x="0"/>
        <item x="1"/>
        <item t="default"/>
      </items>
    </pivotField>
    <pivotField showAll="0"/>
    <pivotField showAll="0"/>
    <pivotField showAll="0"/>
    <pivotField showAll="0"/>
    <pivotField axis="axisRow"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2"/>
    </i>
    <i>
      <x/>
    </i>
    <i>
      <x v="3"/>
    </i>
    <i>
      <x v="1"/>
    </i>
    <i t="grand">
      <x/>
    </i>
  </rowItems>
  <colItems count="1">
    <i/>
  </colItems>
  <dataFields count="1">
    <dataField name="Sum of Sales" fld="17" baseField="0" baseItem="0" numFmtId="170"/>
  </dataFields>
  <formats count="2">
    <format dxfId="19">
      <pivotArea grandRow="1" outline="0" collapsedLevelsAreSubtotals="1"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105989-8944-4EA1-8D6C-B9DA0C1AAD3C}" name="Sales By Sub Category" cacheId="60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N25:O43" firstHeaderRow="1" firstDataRow="1" firstDataCol="1"/>
  <pivotFields count="27">
    <pivotField showAll="0"/>
    <pivotField showAll="0"/>
    <pivotField showAll="0">
      <items count="553">
        <item x="6"/>
        <item x="20"/>
        <item x="1"/>
        <item x="26"/>
        <item x="0"/>
        <item x="4"/>
        <item x="9"/>
        <item x="14"/>
        <item x="45"/>
        <item x="34"/>
        <item x="39"/>
        <item x="37"/>
        <item x="46"/>
        <item x="47"/>
        <item x="41"/>
        <item x="87"/>
        <item x="71"/>
        <item x="75"/>
        <item x="77"/>
        <item x="63"/>
        <item x="51"/>
        <item x="89"/>
        <item x="117"/>
        <item x="108"/>
        <item x="134"/>
        <item x="124"/>
        <item x="107"/>
        <item x="156"/>
        <item x="169"/>
        <item x="165"/>
        <item x="174"/>
        <item x="171"/>
        <item x="168"/>
        <item x="160"/>
        <item x="146"/>
        <item x="143"/>
        <item x="167"/>
        <item x="161"/>
        <item x="201"/>
        <item x="181"/>
        <item x="218"/>
        <item x="188"/>
        <item x="185"/>
        <item x="223"/>
        <item x="184"/>
        <item x="189"/>
        <item x="206"/>
        <item x="219"/>
        <item x="199"/>
        <item x="210"/>
        <item x="259"/>
        <item x="262"/>
        <item x="226"/>
        <item x="252"/>
        <item x="229"/>
        <item x="250"/>
        <item x="260"/>
        <item x="234"/>
        <item x="267"/>
        <item x="270"/>
        <item x="268"/>
        <item x="286"/>
        <item x="269"/>
        <item x="272"/>
        <item x="290"/>
        <item x="295"/>
        <item x="273"/>
        <item x="285"/>
        <item x="294"/>
        <item x="316"/>
        <item x="325"/>
        <item x="335"/>
        <item x="341"/>
        <item x="315"/>
        <item x="344"/>
        <item x="333"/>
        <item x="353"/>
        <item x="306"/>
        <item x="334"/>
        <item x="348"/>
        <item x="356"/>
        <item x="339"/>
        <item x="350"/>
        <item x="364"/>
        <item x="332"/>
        <item x="396"/>
        <item x="398"/>
        <item x="416"/>
        <item x="411"/>
        <item x="367"/>
        <item x="376"/>
        <item x="412"/>
        <item x="384"/>
        <item x="407"/>
        <item x="425"/>
        <item x="440"/>
        <item x="462"/>
        <item x="423"/>
        <item x="428"/>
        <item x="449"/>
        <item x="482"/>
        <item x="463"/>
        <item x="427"/>
        <item x="421"/>
        <item x="472"/>
        <item x="476"/>
        <item x="473"/>
        <item x="470"/>
        <item x="543"/>
        <item x="533"/>
        <item x="519"/>
        <item x="545"/>
        <item x="534"/>
        <item x="542"/>
        <item x="551"/>
        <item x="504"/>
        <item x="535"/>
        <item x="529"/>
        <item x="547"/>
        <item x="520"/>
        <item x="513"/>
        <item x="544"/>
        <item x="538"/>
        <item x="549"/>
        <item x="12"/>
        <item x="22"/>
        <item x="18"/>
        <item x="50"/>
        <item x="35"/>
        <item x="32"/>
        <item x="36"/>
        <item x="82"/>
        <item x="55"/>
        <item x="54"/>
        <item x="76"/>
        <item x="57"/>
        <item x="84"/>
        <item x="53"/>
        <item x="52"/>
        <item x="93"/>
        <item x="64"/>
        <item x="132"/>
        <item x="113"/>
        <item x="128"/>
        <item x="118"/>
        <item x="115"/>
        <item x="101"/>
        <item x="116"/>
        <item x="127"/>
        <item x="141"/>
        <item x="98"/>
        <item x="121"/>
        <item x="105"/>
        <item x="135"/>
        <item x="176"/>
        <item x="151"/>
        <item x="154"/>
        <item x="178"/>
        <item x="166"/>
        <item x="212"/>
        <item x="195"/>
        <item x="203"/>
        <item x="190"/>
        <item x="222"/>
        <item x="215"/>
        <item x="246"/>
        <item x="230"/>
        <item x="231"/>
        <item x="245"/>
        <item x="240"/>
        <item x="247"/>
        <item x="232"/>
        <item x="277"/>
        <item x="297"/>
        <item x="288"/>
        <item x="298"/>
        <item x="292"/>
        <item x="266"/>
        <item x="300"/>
        <item x="327"/>
        <item x="314"/>
        <item x="347"/>
        <item x="310"/>
        <item x="322"/>
        <item x="359"/>
        <item x="337"/>
        <item x="320"/>
        <item x="361"/>
        <item x="362"/>
        <item x="303"/>
        <item x="357"/>
        <item x="302"/>
        <item x="321"/>
        <item x="308"/>
        <item x="401"/>
        <item x="379"/>
        <item x="409"/>
        <item x="391"/>
        <item x="383"/>
        <item x="390"/>
        <item x="410"/>
        <item x="399"/>
        <item x="382"/>
        <item x="365"/>
        <item x="394"/>
        <item x="484"/>
        <item x="471"/>
        <item x="481"/>
        <item x="459"/>
        <item x="485"/>
        <item x="480"/>
        <item x="477"/>
        <item x="456"/>
        <item x="435"/>
        <item x="460"/>
        <item x="445"/>
        <item x="458"/>
        <item x="426"/>
        <item x="453"/>
        <item x="465"/>
        <item x="424"/>
        <item x="469"/>
        <item x="536"/>
        <item x="527"/>
        <item x="506"/>
        <item x="497"/>
        <item x="518"/>
        <item x="541"/>
        <item x="539"/>
        <item x="532"/>
        <item x="523"/>
        <item x="493"/>
        <item x="498"/>
        <item x="550"/>
        <item x="492"/>
        <item x="502"/>
        <item x="509"/>
        <item x="501"/>
        <item x="531"/>
        <item x="524"/>
        <item x="5"/>
        <item x="16"/>
        <item x="17"/>
        <item x="11"/>
        <item x="23"/>
        <item x="40"/>
        <item x="28"/>
        <item x="33"/>
        <item x="31"/>
        <item x="49"/>
        <item x="61"/>
        <item x="60"/>
        <item x="83"/>
        <item x="86"/>
        <item x="59"/>
        <item x="67"/>
        <item x="92"/>
        <item x="91"/>
        <item x="65"/>
        <item x="58"/>
        <item x="56"/>
        <item x="70"/>
        <item x="94"/>
        <item x="129"/>
        <item x="100"/>
        <item x="110"/>
        <item x="130"/>
        <item x="112"/>
        <item x="106"/>
        <item x="96"/>
        <item x="140"/>
        <item x="122"/>
        <item x="99"/>
        <item x="109"/>
        <item x="95"/>
        <item x="97"/>
        <item x="139"/>
        <item x="103"/>
        <item x="123"/>
        <item x="145"/>
        <item x="173"/>
        <item x="153"/>
        <item x="158"/>
        <item x="179"/>
        <item x="159"/>
        <item x="157"/>
        <item x="164"/>
        <item x="170"/>
        <item x="155"/>
        <item x="172"/>
        <item x="163"/>
        <item x="175"/>
        <item x="162"/>
        <item x="183"/>
        <item x="208"/>
        <item x="214"/>
        <item x="200"/>
        <item x="209"/>
        <item x="186"/>
        <item x="216"/>
        <item x="187"/>
        <item x="192"/>
        <item x="180"/>
        <item x="258"/>
        <item x="254"/>
        <item x="248"/>
        <item x="225"/>
        <item x="244"/>
        <item x="257"/>
        <item x="241"/>
        <item x="235"/>
        <item x="243"/>
        <item x="249"/>
        <item x="263"/>
        <item x="256"/>
        <item x="293"/>
        <item x="280"/>
        <item x="265"/>
        <item x="299"/>
        <item x="271"/>
        <item x="289"/>
        <item x="281"/>
        <item x="282"/>
        <item x="276"/>
        <item x="275"/>
        <item x="291"/>
        <item x="351"/>
        <item x="345"/>
        <item x="311"/>
        <item x="342"/>
        <item x="323"/>
        <item x="307"/>
        <item x="363"/>
        <item x="352"/>
        <item x="312"/>
        <item x="317"/>
        <item x="329"/>
        <item x="301"/>
        <item x="355"/>
        <item x="309"/>
        <item x="370"/>
        <item x="385"/>
        <item x="393"/>
        <item x="414"/>
        <item x="372"/>
        <item x="392"/>
        <item x="369"/>
        <item x="388"/>
        <item x="404"/>
        <item x="400"/>
        <item x="381"/>
        <item x="403"/>
        <item x="438"/>
        <item x="436"/>
        <item x="434"/>
        <item x="448"/>
        <item x="464"/>
        <item x="429"/>
        <item x="432"/>
        <item x="474"/>
        <item x="437"/>
        <item x="433"/>
        <item x="487"/>
        <item x="450"/>
        <item x="420"/>
        <item x="439"/>
        <item x="478"/>
        <item x="466"/>
        <item x="444"/>
        <item x="467"/>
        <item x="475"/>
        <item x="451"/>
        <item x="525"/>
        <item x="546"/>
        <item x="512"/>
        <item x="500"/>
        <item x="514"/>
        <item x="508"/>
        <item x="496"/>
        <item x="507"/>
        <item x="495"/>
        <item x="505"/>
        <item x="494"/>
        <item x="13"/>
        <item x="21"/>
        <item x="8"/>
        <item x="15"/>
        <item x="10"/>
        <item x="2"/>
        <item x="25"/>
        <item x="7"/>
        <item x="3"/>
        <item x="19"/>
        <item x="24"/>
        <item x="27"/>
        <item x="42"/>
        <item x="44"/>
        <item x="38"/>
        <item x="48"/>
        <item x="29"/>
        <item x="30"/>
        <item x="43"/>
        <item x="69"/>
        <item x="80"/>
        <item x="74"/>
        <item x="78"/>
        <item x="90"/>
        <item x="85"/>
        <item x="79"/>
        <item x="81"/>
        <item x="62"/>
        <item x="88"/>
        <item x="72"/>
        <item x="68"/>
        <item x="66"/>
        <item x="73"/>
        <item x="131"/>
        <item x="102"/>
        <item x="133"/>
        <item x="111"/>
        <item x="114"/>
        <item x="119"/>
        <item x="126"/>
        <item x="142"/>
        <item x="137"/>
        <item x="125"/>
        <item x="120"/>
        <item x="104"/>
        <item x="136"/>
        <item x="138"/>
        <item x="149"/>
        <item x="147"/>
        <item x="152"/>
        <item x="144"/>
        <item x="148"/>
        <item x="150"/>
        <item x="177"/>
        <item x="191"/>
        <item x="205"/>
        <item x="221"/>
        <item x="202"/>
        <item x="182"/>
        <item x="211"/>
        <item x="194"/>
        <item x="217"/>
        <item x="220"/>
        <item x="198"/>
        <item x="197"/>
        <item x="196"/>
        <item x="213"/>
        <item x="207"/>
        <item x="193"/>
        <item x="204"/>
        <item x="236"/>
        <item x="253"/>
        <item x="224"/>
        <item x="238"/>
        <item x="237"/>
        <item x="261"/>
        <item x="228"/>
        <item x="242"/>
        <item x="233"/>
        <item x="255"/>
        <item x="227"/>
        <item x="251"/>
        <item x="239"/>
        <item x="264"/>
        <item x="284"/>
        <item x="274"/>
        <item x="283"/>
        <item x="279"/>
        <item x="296"/>
        <item x="278"/>
        <item x="287"/>
        <item x="328"/>
        <item x="343"/>
        <item x="304"/>
        <item x="360"/>
        <item x="313"/>
        <item x="349"/>
        <item x="319"/>
        <item x="331"/>
        <item x="305"/>
        <item x="358"/>
        <item x="336"/>
        <item x="340"/>
        <item x="318"/>
        <item x="324"/>
        <item x="326"/>
        <item x="338"/>
        <item x="330"/>
        <item x="346"/>
        <item x="354"/>
        <item x="368"/>
        <item x="375"/>
        <item x="378"/>
        <item x="406"/>
        <item x="371"/>
        <item x="408"/>
        <item x="387"/>
        <item x="380"/>
        <item x="386"/>
        <item x="413"/>
        <item x="415"/>
        <item x="395"/>
        <item x="366"/>
        <item x="374"/>
        <item x="377"/>
        <item x="389"/>
        <item x="405"/>
        <item x="373"/>
        <item x="402"/>
        <item x="397"/>
        <item x="443"/>
        <item x="455"/>
        <item x="418"/>
        <item x="419"/>
        <item x="446"/>
        <item x="447"/>
        <item x="483"/>
        <item x="454"/>
        <item x="441"/>
        <item x="431"/>
        <item x="461"/>
        <item x="468"/>
        <item x="430"/>
        <item x="452"/>
        <item x="479"/>
        <item x="457"/>
        <item x="422"/>
        <item x="417"/>
        <item x="442"/>
        <item x="486"/>
        <item x="511"/>
        <item x="516"/>
        <item x="530"/>
        <item x="540"/>
        <item x="510"/>
        <item x="528"/>
        <item x="491"/>
        <item x="489"/>
        <item x="499"/>
        <item x="522"/>
        <item x="521"/>
        <item x="548"/>
        <item x="488"/>
        <item x="517"/>
        <item x="537"/>
        <item x="515"/>
        <item x="526"/>
        <item x="490"/>
        <item x="503"/>
        <item t="default"/>
      </items>
    </pivotField>
    <pivotField showAll="0"/>
    <pivotField showAll="0">
      <items count="5">
        <item x="2"/>
        <item x="3"/>
        <item x="0"/>
        <item x="1"/>
        <item t="default"/>
      </items>
    </pivotField>
    <pivotField showAll="0"/>
    <pivotField showAll="0"/>
    <pivotField showAll="0">
      <items count="4">
        <item x="2"/>
        <item x="0"/>
        <item x="1"/>
        <item t="default"/>
      </items>
    </pivotField>
    <pivotField showAll="0"/>
    <pivotField showAll="0"/>
    <pivotField showAll="0"/>
    <pivotField showAll="0"/>
    <pivotField showAll="0">
      <items count="5">
        <item x="3"/>
        <item x="2"/>
        <item x="0"/>
        <item x="1"/>
        <item t="default"/>
      </items>
    </pivotField>
    <pivotField showAll="0"/>
    <pivotField showAll="0">
      <items count="4">
        <item x="2"/>
        <item x="0"/>
        <item x="1"/>
        <item t="default"/>
      </items>
    </pivotField>
    <pivotField axis="axisRow" showAll="0" sortType="ascending">
      <items count="18">
        <item x="4"/>
        <item x="14"/>
        <item x="3"/>
        <item x="10"/>
        <item x="8"/>
        <item x="13"/>
        <item x="15"/>
        <item x="0"/>
        <item x="12"/>
        <item x="5"/>
        <item x="1"/>
        <item x="11"/>
        <item x="9"/>
        <item x="7"/>
        <item x="2"/>
        <item x="16"/>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8"/>
    </i>
    <i>
      <x v="10"/>
    </i>
    <i>
      <x v="7"/>
    </i>
    <i>
      <x v="15"/>
    </i>
    <i>
      <x v="2"/>
    </i>
    <i>
      <x v="12"/>
    </i>
    <i>
      <x v="9"/>
    </i>
    <i>
      <x v="1"/>
    </i>
    <i>
      <x v="4"/>
    </i>
    <i>
      <x/>
    </i>
    <i>
      <x v="3"/>
    </i>
    <i>
      <x v="14"/>
    </i>
    <i>
      <x v="11"/>
    </i>
    <i>
      <x v="6"/>
    </i>
    <i>
      <x v="16"/>
    </i>
    <i>
      <x v="5"/>
    </i>
    <i>
      <x v="13"/>
    </i>
    <i t="grand">
      <x/>
    </i>
  </rowItems>
  <colItems count="1">
    <i/>
  </colItems>
  <dataFields count="1">
    <dataField name="Sum of Sales" fld="17" baseField="0" baseItem="0" numFmtId="170"/>
  </dataFields>
  <formats count="3">
    <format dxfId="22">
      <pivotArea collapsedLevelsAreSubtotals="1" fieldPosition="0">
        <references count="1">
          <reference field="15" count="0"/>
        </references>
      </pivotArea>
    </format>
    <format dxfId="21">
      <pivotArea grandRow="1" outline="0" collapsedLevelsAreSubtotals="1"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F8DCFE-1E56-4A8C-908B-EAD22ADB7948}" name="year wise Sales" cacheId="60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W9:X14" firstHeaderRow="1" firstDataRow="1" firstDataCol="1"/>
  <pivotFields count="27">
    <pivotField showAll="0"/>
    <pivotField showAll="0"/>
    <pivotField showAll="0">
      <items count="553">
        <item x="6"/>
        <item x="20"/>
        <item x="1"/>
        <item x="26"/>
        <item x="0"/>
        <item x="4"/>
        <item x="9"/>
        <item x="14"/>
        <item x="45"/>
        <item x="34"/>
        <item x="39"/>
        <item x="37"/>
        <item x="46"/>
        <item x="47"/>
        <item x="41"/>
        <item x="87"/>
        <item x="71"/>
        <item x="75"/>
        <item x="77"/>
        <item x="63"/>
        <item x="51"/>
        <item x="89"/>
        <item x="117"/>
        <item x="108"/>
        <item x="134"/>
        <item x="124"/>
        <item x="107"/>
        <item x="156"/>
        <item x="169"/>
        <item x="165"/>
        <item x="174"/>
        <item x="171"/>
        <item x="168"/>
        <item x="160"/>
        <item x="146"/>
        <item x="143"/>
        <item x="167"/>
        <item x="161"/>
        <item x="201"/>
        <item x="181"/>
        <item x="218"/>
        <item x="188"/>
        <item x="185"/>
        <item x="223"/>
        <item x="184"/>
        <item x="189"/>
        <item x="206"/>
        <item x="219"/>
        <item x="199"/>
        <item x="210"/>
        <item x="259"/>
        <item x="262"/>
        <item x="226"/>
        <item x="252"/>
        <item x="229"/>
        <item x="250"/>
        <item x="260"/>
        <item x="234"/>
        <item x="267"/>
        <item x="270"/>
        <item x="268"/>
        <item x="286"/>
        <item x="269"/>
        <item x="272"/>
        <item x="290"/>
        <item x="295"/>
        <item x="273"/>
        <item x="285"/>
        <item x="294"/>
        <item x="316"/>
        <item x="325"/>
        <item x="335"/>
        <item x="341"/>
        <item x="315"/>
        <item x="344"/>
        <item x="333"/>
        <item x="353"/>
        <item x="306"/>
        <item x="334"/>
        <item x="348"/>
        <item x="356"/>
        <item x="339"/>
        <item x="350"/>
        <item x="364"/>
        <item x="332"/>
        <item x="396"/>
        <item x="398"/>
        <item x="416"/>
        <item x="411"/>
        <item x="367"/>
        <item x="376"/>
        <item x="412"/>
        <item x="384"/>
        <item x="407"/>
        <item x="425"/>
        <item x="440"/>
        <item x="462"/>
        <item x="423"/>
        <item x="428"/>
        <item x="449"/>
        <item x="482"/>
        <item x="463"/>
        <item x="427"/>
        <item x="421"/>
        <item x="472"/>
        <item x="476"/>
        <item x="473"/>
        <item x="470"/>
        <item x="543"/>
        <item x="533"/>
        <item x="519"/>
        <item x="545"/>
        <item x="534"/>
        <item x="542"/>
        <item x="551"/>
        <item x="504"/>
        <item x="535"/>
        <item x="529"/>
        <item x="547"/>
        <item x="520"/>
        <item x="513"/>
        <item x="544"/>
        <item x="538"/>
        <item x="549"/>
        <item x="12"/>
        <item x="22"/>
        <item x="18"/>
        <item x="50"/>
        <item x="35"/>
        <item x="32"/>
        <item x="36"/>
        <item x="82"/>
        <item x="55"/>
        <item x="54"/>
        <item x="76"/>
        <item x="57"/>
        <item x="84"/>
        <item x="53"/>
        <item x="52"/>
        <item x="93"/>
        <item x="64"/>
        <item x="132"/>
        <item x="113"/>
        <item x="128"/>
        <item x="118"/>
        <item x="115"/>
        <item x="101"/>
        <item x="116"/>
        <item x="127"/>
        <item x="141"/>
        <item x="98"/>
        <item x="121"/>
        <item x="105"/>
        <item x="135"/>
        <item x="176"/>
        <item x="151"/>
        <item x="154"/>
        <item x="178"/>
        <item x="166"/>
        <item x="212"/>
        <item x="195"/>
        <item x="203"/>
        <item x="190"/>
        <item x="222"/>
        <item x="215"/>
        <item x="246"/>
        <item x="230"/>
        <item x="231"/>
        <item x="245"/>
        <item x="240"/>
        <item x="247"/>
        <item x="232"/>
        <item x="277"/>
        <item x="297"/>
        <item x="288"/>
        <item x="298"/>
        <item x="292"/>
        <item x="266"/>
        <item x="300"/>
        <item x="327"/>
        <item x="314"/>
        <item x="347"/>
        <item x="310"/>
        <item x="322"/>
        <item x="359"/>
        <item x="337"/>
        <item x="320"/>
        <item x="361"/>
        <item x="362"/>
        <item x="303"/>
        <item x="357"/>
        <item x="302"/>
        <item x="321"/>
        <item x="308"/>
        <item x="401"/>
        <item x="379"/>
        <item x="409"/>
        <item x="391"/>
        <item x="383"/>
        <item x="390"/>
        <item x="410"/>
        <item x="399"/>
        <item x="382"/>
        <item x="365"/>
        <item x="394"/>
        <item x="484"/>
        <item x="471"/>
        <item x="481"/>
        <item x="459"/>
        <item x="485"/>
        <item x="480"/>
        <item x="477"/>
        <item x="456"/>
        <item x="435"/>
        <item x="460"/>
        <item x="445"/>
        <item x="458"/>
        <item x="426"/>
        <item x="453"/>
        <item x="465"/>
        <item x="424"/>
        <item x="469"/>
        <item x="536"/>
        <item x="527"/>
        <item x="506"/>
        <item x="497"/>
        <item x="518"/>
        <item x="541"/>
        <item x="539"/>
        <item x="532"/>
        <item x="523"/>
        <item x="493"/>
        <item x="498"/>
        <item x="550"/>
        <item x="492"/>
        <item x="502"/>
        <item x="509"/>
        <item x="501"/>
        <item x="531"/>
        <item x="524"/>
        <item x="5"/>
        <item x="16"/>
        <item x="17"/>
        <item x="11"/>
        <item x="23"/>
        <item x="40"/>
        <item x="28"/>
        <item x="33"/>
        <item x="31"/>
        <item x="49"/>
        <item x="61"/>
        <item x="60"/>
        <item x="83"/>
        <item x="86"/>
        <item x="59"/>
        <item x="67"/>
        <item x="92"/>
        <item x="91"/>
        <item x="65"/>
        <item x="58"/>
        <item x="56"/>
        <item x="70"/>
        <item x="94"/>
        <item x="129"/>
        <item x="100"/>
        <item x="110"/>
        <item x="130"/>
        <item x="112"/>
        <item x="106"/>
        <item x="96"/>
        <item x="140"/>
        <item x="122"/>
        <item x="99"/>
        <item x="109"/>
        <item x="95"/>
        <item x="97"/>
        <item x="139"/>
        <item x="103"/>
        <item x="123"/>
        <item x="145"/>
        <item x="173"/>
        <item x="153"/>
        <item x="158"/>
        <item x="179"/>
        <item x="159"/>
        <item x="157"/>
        <item x="164"/>
        <item x="170"/>
        <item x="155"/>
        <item x="172"/>
        <item x="163"/>
        <item x="175"/>
        <item x="162"/>
        <item x="183"/>
        <item x="208"/>
        <item x="214"/>
        <item x="200"/>
        <item x="209"/>
        <item x="186"/>
        <item x="216"/>
        <item x="187"/>
        <item x="192"/>
        <item x="180"/>
        <item x="258"/>
        <item x="254"/>
        <item x="248"/>
        <item x="225"/>
        <item x="244"/>
        <item x="257"/>
        <item x="241"/>
        <item x="235"/>
        <item x="243"/>
        <item x="249"/>
        <item x="263"/>
        <item x="256"/>
        <item x="293"/>
        <item x="280"/>
        <item x="265"/>
        <item x="299"/>
        <item x="271"/>
        <item x="289"/>
        <item x="281"/>
        <item x="282"/>
        <item x="276"/>
        <item x="275"/>
        <item x="291"/>
        <item x="351"/>
        <item x="345"/>
        <item x="311"/>
        <item x="342"/>
        <item x="323"/>
        <item x="307"/>
        <item x="363"/>
        <item x="352"/>
        <item x="312"/>
        <item x="317"/>
        <item x="329"/>
        <item x="301"/>
        <item x="355"/>
        <item x="309"/>
        <item x="370"/>
        <item x="385"/>
        <item x="393"/>
        <item x="414"/>
        <item x="372"/>
        <item x="392"/>
        <item x="369"/>
        <item x="388"/>
        <item x="404"/>
        <item x="400"/>
        <item x="381"/>
        <item x="403"/>
        <item x="438"/>
        <item x="436"/>
        <item x="434"/>
        <item x="448"/>
        <item x="464"/>
        <item x="429"/>
        <item x="432"/>
        <item x="474"/>
        <item x="437"/>
        <item x="433"/>
        <item x="487"/>
        <item x="450"/>
        <item x="420"/>
        <item x="439"/>
        <item x="478"/>
        <item x="466"/>
        <item x="444"/>
        <item x="467"/>
        <item x="475"/>
        <item x="451"/>
        <item x="525"/>
        <item x="546"/>
        <item x="512"/>
        <item x="500"/>
        <item x="514"/>
        <item x="508"/>
        <item x="496"/>
        <item x="507"/>
        <item x="495"/>
        <item x="505"/>
        <item x="494"/>
        <item x="13"/>
        <item x="21"/>
        <item x="8"/>
        <item x="15"/>
        <item x="10"/>
        <item x="2"/>
        <item x="25"/>
        <item x="7"/>
        <item x="3"/>
        <item x="19"/>
        <item x="24"/>
        <item x="27"/>
        <item x="42"/>
        <item x="44"/>
        <item x="38"/>
        <item x="48"/>
        <item x="29"/>
        <item x="30"/>
        <item x="43"/>
        <item x="69"/>
        <item x="80"/>
        <item x="74"/>
        <item x="78"/>
        <item x="90"/>
        <item x="85"/>
        <item x="79"/>
        <item x="81"/>
        <item x="62"/>
        <item x="88"/>
        <item x="72"/>
        <item x="68"/>
        <item x="66"/>
        <item x="73"/>
        <item x="131"/>
        <item x="102"/>
        <item x="133"/>
        <item x="111"/>
        <item x="114"/>
        <item x="119"/>
        <item x="126"/>
        <item x="142"/>
        <item x="137"/>
        <item x="125"/>
        <item x="120"/>
        <item x="104"/>
        <item x="136"/>
        <item x="138"/>
        <item x="149"/>
        <item x="147"/>
        <item x="152"/>
        <item x="144"/>
        <item x="148"/>
        <item x="150"/>
        <item x="177"/>
        <item x="191"/>
        <item x="205"/>
        <item x="221"/>
        <item x="202"/>
        <item x="182"/>
        <item x="211"/>
        <item x="194"/>
        <item x="217"/>
        <item x="220"/>
        <item x="198"/>
        <item x="197"/>
        <item x="196"/>
        <item x="213"/>
        <item x="207"/>
        <item x="193"/>
        <item x="204"/>
        <item x="236"/>
        <item x="253"/>
        <item x="224"/>
        <item x="238"/>
        <item x="237"/>
        <item x="261"/>
        <item x="228"/>
        <item x="242"/>
        <item x="233"/>
        <item x="255"/>
        <item x="227"/>
        <item x="251"/>
        <item x="239"/>
        <item x="264"/>
        <item x="284"/>
        <item x="274"/>
        <item x="283"/>
        <item x="279"/>
        <item x="296"/>
        <item x="278"/>
        <item x="287"/>
        <item x="328"/>
        <item x="343"/>
        <item x="304"/>
        <item x="360"/>
        <item x="313"/>
        <item x="349"/>
        <item x="319"/>
        <item x="331"/>
        <item x="305"/>
        <item x="358"/>
        <item x="336"/>
        <item x="340"/>
        <item x="318"/>
        <item x="324"/>
        <item x="326"/>
        <item x="338"/>
        <item x="330"/>
        <item x="346"/>
        <item x="354"/>
        <item x="368"/>
        <item x="375"/>
        <item x="378"/>
        <item x="406"/>
        <item x="371"/>
        <item x="408"/>
        <item x="387"/>
        <item x="380"/>
        <item x="386"/>
        <item x="413"/>
        <item x="415"/>
        <item x="395"/>
        <item x="366"/>
        <item x="374"/>
        <item x="377"/>
        <item x="389"/>
        <item x="405"/>
        <item x="373"/>
        <item x="402"/>
        <item x="397"/>
        <item x="443"/>
        <item x="455"/>
        <item x="418"/>
        <item x="419"/>
        <item x="446"/>
        <item x="447"/>
        <item x="483"/>
        <item x="454"/>
        <item x="441"/>
        <item x="431"/>
        <item x="461"/>
        <item x="468"/>
        <item x="430"/>
        <item x="452"/>
        <item x="479"/>
        <item x="457"/>
        <item x="422"/>
        <item x="417"/>
        <item x="442"/>
        <item x="486"/>
        <item x="511"/>
        <item x="516"/>
        <item x="530"/>
        <item x="540"/>
        <item x="510"/>
        <item x="528"/>
        <item x="491"/>
        <item x="489"/>
        <item x="499"/>
        <item x="522"/>
        <item x="521"/>
        <item x="548"/>
        <item x="488"/>
        <item x="517"/>
        <item x="537"/>
        <item x="515"/>
        <item x="526"/>
        <item x="490"/>
        <item x="503"/>
        <item t="default"/>
      </items>
    </pivotField>
    <pivotField showAll="0"/>
    <pivotField showAll="0">
      <items count="5">
        <item x="2"/>
        <item x="3"/>
        <item x="0"/>
        <item x="1"/>
        <item t="default"/>
      </items>
    </pivotField>
    <pivotField showAll="0"/>
    <pivotField showAll="0"/>
    <pivotField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6"/>
  </rowFields>
  <rowItems count="5">
    <i>
      <x v="1"/>
    </i>
    <i>
      <x v="2"/>
    </i>
    <i>
      <x v="3"/>
    </i>
    <i>
      <x v="4"/>
    </i>
    <i t="grand">
      <x/>
    </i>
  </rowItems>
  <colItems count="1">
    <i/>
  </colItems>
  <dataFields count="1">
    <dataField name="Sum of Sales" fld="17" baseField="0" baseItem="0" numFmtId="167"/>
  </dataFields>
  <formats count="2">
    <format dxfId="24">
      <pivotArea grandRow="1"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9340DC-F4E4-456C-8209-E1F1462E867B}" sourceName="Region">
  <pivotTables>
    <pivotTable tabId="2" name="Category Analysis"/>
    <pivotTable tabId="2" name="Kpi Table"/>
    <pivotTable tabId="2" name="Sales By Product"/>
    <pivotTable tabId="2" name="Sales By Ship Mode"/>
    <pivotTable tabId="2" name="Sales By Sub Category"/>
    <pivotTable tabId="2" name="Segment analysis"/>
    <pivotTable tabId="2" name="State Analysis"/>
    <pivotTable tabId="2" name="Month Wise Sales"/>
    <pivotTable tabId="2" name="year wise Sales"/>
  </pivotTables>
  <data>
    <tabular pivotCacheId="827231746">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CDB5D5-BDDB-497F-98D6-5AA1675BE8F1}" sourceName="Category">
  <pivotTables>
    <pivotTable tabId="2" name="Kpi Table"/>
    <pivotTable tabId="2" name="Region Analysis"/>
    <pivotTable tabId="2" name="Sales By Product"/>
    <pivotTable tabId="2" name="Sales By Ship Mode"/>
    <pivotTable tabId="2" name="Sales By Sub Category"/>
    <pivotTable tabId="2" name="Segment analysis"/>
    <pivotTable tabId="2" name="State Analysis"/>
    <pivotTable tabId="2" name="Month Wise Sales"/>
    <pivotTable tabId="2" name="year wise Sales"/>
  </pivotTables>
  <data>
    <tabular pivotCacheId="82723174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7900D8D-F6C2-49D2-B69D-DAE0710BF5EF}" sourceName="Ship Mode">
  <pivotTables>
    <pivotTable tabId="2" name="Category Analysis"/>
    <pivotTable tabId="2" name="Kpi Table"/>
    <pivotTable tabId="2" name="Region Analysis"/>
    <pivotTable tabId="2" name="Sales By Product"/>
    <pivotTable tabId="2" name="Sales By Sub Category"/>
    <pivotTable tabId="2" name="Segment analysis"/>
    <pivotTable tabId="2" name="State Analysis"/>
    <pivotTable tabId="2" name="Month Wise Sales"/>
    <pivotTable tabId="2" name="year wise Sales"/>
  </pivotTables>
  <data>
    <tabular pivotCacheId="82723174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46B82EE-6C6D-449D-86FF-39384428D828}" sourceName="Segment">
  <pivotTables>
    <pivotTable tabId="2" name="Category Analysis"/>
    <pivotTable tabId="2" name="Kpi Table"/>
    <pivotTable tabId="2" name="Region Analysis"/>
    <pivotTable tabId="2" name="Sales By Product"/>
    <pivotTable tabId="2" name="Sales By Ship Mode"/>
    <pivotTable tabId="2" name="Sales By Sub Category"/>
    <pivotTable tabId="2" name="State Analysis"/>
    <pivotTable tabId="2" name="Month Wise Sales"/>
    <pivotTable tabId="2" name="year wise Sales"/>
  </pivotTables>
  <data>
    <tabular pivotCacheId="82723174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8AF23C-348B-43AD-AA93-D0014D387E1A}" cache="Slicer_Region" caption="Region" columnCount="4" showCaption="0" style="SlicerStyleLight1 2 2 2" rowHeight="247650"/>
  <slicer name="Category" xr10:uid="{39241F9B-5A65-42D0-8090-03AF81E62AD6}" cache="Slicer_Category" caption="Category" columnCount="3" showCaption="0" style="SlicerStyleLight1 2 2 2" rowHeight="247650"/>
  <slicer name="Ship Mode" xr10:uid="{5909CAB0-AD9D-46F0-973C-D81CBB823115}" cache="Slicer_Ship_Mode" caption="Ship Mode" columnCount="4" showCaption="0" style="SlicerStyleLight1 2 2 2" rowHeight="216000"/>
  <slicer name="Segment" xr10:uid="{C2ABC278-6406-4A19-9026-DA0B8783F363}" cache="Slicer_Segment" caption="Segment" showCaption="0" style="SlicerStyleLight1 2 2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CF4F9-7B44-41E8-9BE7-57BE863C37DE}">
  <dimension ref="D3:AL643"/>
  <sheetViews>
    <sheetView workbookViewId="0">
      <selection activeCell="I10" sqref="I10"/>
    </sheetView>
  </sheetViews>
  <sheetFormatPr defaultRowHeight="14.4" x14ac:dyDescent="0.3"/>
  <cols>
    <col min="3" max="3" width="8.77734375" bestFit="1" customWidth="1"/>
    <col min="4" max="5" width="12.6640625" bestFit="1" customWidth="1"/>
    <col min="6" max="6" width="14.21875" bestFit="1" customWidth="1"/>
    <col min="7" max="7" width="15.109375" bestFit="1" customWidth="1"/>
    <col min="8" max="10" width="21.77734375" bestFit="1" customWidth="1"/>
    <col min="11" max="11" width="11.5546875" bestFit="1" customWidth="1"/>
    <col min="12" max="12" width="11.5546875" customWidth="1"/>
    <col min="13" max="13" width="15.33203125" bestFit="1" customWidth="1"/>
    <col min="14" max="14" width="12.44140625" bestFit="1" customWidth="1"/>
    <col min="15" max="15" width="13.109375" bestFit="1" customWidth="1"/>
    <col min="16" max="16" width="11.5546875" bestFit="1" customWidth="1"/>
    <col min="17" max="17" width="16.33203125" bestFit="1" customWidth="1"/>
    <col min="18" max="18" width="13.109375" bestFit="1" customWidth="1"/>
    <col min="19" max="19" width="14.44140625" bestFit="1" customWidth="1"/>
    <col min="20" max="20" width="12.6640625" bestFit="1" customWidth="1"/>
    <col min="21" max="21" width="11.5546875" bestFit="1" customWidth="1"/>
    <col min="22" max="22" width="10.33203125" bestFit="1" customWidth="1"/>
    <col min="23" max="23" width="10.5546875" bestFit="1" customWidth="1"/>
    <col min="24" max="24" width="12.6640625" bestFit="1" customWidth="1"/>
    <col min="25" max="25" width="12.6640625" customWidth="1"/>
    <col min="26" max="26" width="14.88671875" bestFit="1" customWidth="1"/>
    <col min="27" max="27" width="12.6640625" bestFit="1" customWidth="1"/>
    <col min="29" max="29" width="13.109375" bestFit="1" customWidth="1"/>
    <col min="30" max="30" width="11.109375" bestFit="1" customWidth="1"/>
    <col min="34" max="34" width="87.21875" bestFit="1" customWidth="1"/>
    <col min="35" max="35" width="12.6640625" bestFit="1" customWidth="1"/>
    <col min="37" max="37" width="51.44140625" bestFit="1" customWidth="1"/>
    <col min="38" max="38" width="10" bestFit="1" customWidth="1"/>
  </cols>
  <sheetData>
    <row r="3" spans="4:38" x14ac:dyDescent="0.3">
      <c r="F3" s="18" t="s">
        <v>3</v>
      </c>
      <c r="G3" s="18"/>
      <c r="H3" s="18"/>
    </row>
    <row r="4" spans="4:38" x14ac:dyDescent="0.3">
      <c r="F4" t="s">
        <v>0</v>
      </c>
      <c r="G4" t="s">
        <v>1</v>
      </c>
      <c r="H4" t="s">
        <v>2</v>
      </c>
    </row>
    <row r="5" spans="4:38" x14ac:dyDescent="0.3">
      <c r="F5" s="1">
        <v>168451.85380000001</v>
      </c>
      <c r="G5" s="1">
        <v>14634.735599999995</v>
      </c>
      <c r="H5">
        <v>2877</v>
      </c>
    </row>
    <row r="8" spans="4:38" x14ac:dyDescent="0.3">
      <c r="W8" s="15" t="s">
        <v>97</v>
      </c>
      <c r="X8" s="15"/>
      <c r="Z8" s="16" t="s">
        <v>98</v>
      </c>
      <c r="AA8" s="16"/>
      <c r="AE8" t="s">
        <v>55</v>
      </c>
      <c r="AF8" t="s">
        <v>56</v>
      </c>
      <c r="AH8" s="15" t="s">
        <v>740</v>
      </c>
      <c r="AI8" s="15"/>
      <c r="AK8" s="15" t="s">
        <v>740</v>
      </c>
      <c r="AL8" s="15"/>
    </row>
    <row r="9" spans="4:38" x14ac:dyDescent="0.3">
      <c r="D9" s="19" t="s">
        <v>9</v>
      </c>
      <c r="E9" s="19"/>
      <c r="F9" s="19"/>
      <c r="H9" s="15" t="s">
        <v>57</v>
      </c>
      <c r="I9" s="15"/>
      <c r="L9" t="s">
        <v>734</v>
      </c>
      <c r="M9" t="s">
        <v>56</v>
      </c>
      <c r="N9" s="15" t="s">
        <v>61</v>
      </c>
      <c r="O9" s="15"/>
      <c r="S9" s="16" t="s">
        <v>63</v>
      </c>
      <c r="T9" s="16"/>
      <c r="W9" s="2" t="s">
        <v>4</v>
      </c>
      <c r="X9" t="s">
        <v>0</v>
      </c>
      <c r="Z9" s="2" t="s">
        <v>4</v>
      </c>
      <c r="AA9" t="s">
        <v>0</v>
      </c>
      <c r="AC9" t="str" cm="1">
        <f t="array" ref="AC9:AD20">Z10:AA21</f>
        <v>Jan</v>
      </c>
      <c r="AD9" s="14">
        <v>4129.18</v>
      </c>
      <c r="AE9" t="str">
        <f>IF($AD9&gt;=MAX($AD$9:$AD$20),$AD9," ")</f>
        <v xml:space="preserve"> </v>
      </c>
      <c r="AF9">
        <f>IF($AD9&lt;=MIN($AD$9:$AD$20),$AD9," ")</f>
        <v>4129.18</v>
      </c>
      <c r="AH9" s="2" t="s">
        <v>4</v>
      </c>
      <c r="AI9" t="s">
        <v>0</v>
      </c>
      <c r="AK9" s="11" t="s">
        <v>741</v>
      </c>
      <c r="AL9" s="11" t="s">
        <v>99</v>
      </c>
    </row>
    <row r="10" spans="4:38" x14ac:dyDescent="0.3">
      <c r="D10" s="2" t="s">
        <v>4</v>
      </c>
      <c r="E10" t="s">
        <v>0</v>
      </c>
      <c r="F10" t="s">
        <v>1</v>
      </c>
      <c r="H10" s="2" t="s">
        <v>4</v>
      </c>
      <c r="I10" t="s">
        <v>0</v>
      </c>
      <c r="J10" t="str" cm="1">
        <f t="array" ref="J10:K51">H11:I52</f>
        <v>New York</v>
      </c>
      <c r="K10" s="8">
        <v>29377.546999999999</v>
      </c>
      <c r="L10" s="8">
        <f>IF($I11&gt;=MAX($I$11:$I$15),$I11," ")</f>
        <v>29377.546999999999</v>
      </c>
      <c r="M10" s="8" t="str">
        <f>IF($I11&lt;=MIN($I$11:$I$15),$I11," ")</f>
        <v xml:space="preserve"> </v>
      </c>
      <c r="N10" s="2" t="s">
        <v>4</v>
      </c>
      <c r="O10" t="s">
        <v>0</v>
      </c>
      <c r="S10" s="2" t="s">
        <v>4</v>
      </c>
      <c r="T10" t="s">
        <v>0</v>
      </c>
      <c r="W10" s="3" t="s">
        <v>81</v>
      </c>
      <c r="X10" s="10">
        <v>35571.861999999986</v>
      </c>
      <c r="Z10" s="3" t="s">
        <v>85</v>
      </c>
      <c r="AA10" s="14">
        <v>4129.18</v>
      </c>
      <c r="AC10" s="3" t="str">
        <v>Feb</v>
      </c>
      <c r="AD10" s="14">
        <v>4491.7999999999993</v>
      </c>
      <c r="AE10" t="str">
        <f t="shared" ref="AE10:AE20" si="0">IF($AD10&gt;=MAX($AD$9:$AD$20),$AD10," ")</f>
        <v xml:space="preserve"> </v>
      </c>
      <c r="AF10" t="str">
        <f t="shared" ref="AF10:AF20" si="1">IF($AD10&lt;=MIN($AD$9:$AD$20),$AD10," ")</f>
        <v xml:space="preserve"> </v>
      </c>
      <c r="AH10" s="3" t="s">
        <v>228</v>
      </c>
      <c r="AI10" s="4">
        <v>11199.968000000001</v>
      </c>
      <c r="AK10" t="str" cm="1">
        <f t="array" ref="AK10:AL19">AH10:AI19</f>
        <v>Canon imageCLASS 2200 Advanced Copier</v>
      </c>
      <c r="AL10">
        <v>11199.968000000001</v>
      </c>
    </row>
    <row r="11" spans="4:38" x14ac:dyDescent="0.3">
      <c r="D11" s="3" t="s">
        <v>5</v>
      </c>
      <c r="E11" s="1">
        <v>53148.097799999952</v>
      </c>
      <c r="F11" s="1">
        <v>-321.63159999999948</v>
      </c>
      <c r="H11" s="3" t="s">
        <v>41</v>
      </c>
      <c r="I11" s="4">
        <v>29377.546999999999</v>
      </c>
      <c r="J11" t="str">
        <v>California</v>
      </c>
      <c r="K11" s="8">
        <v>25759.09299999999</v>
      </c>
      <c r="L11" s="8" t="str">
        <f t="shared" ref="L11:L14" si="2">IF($I12&gt;=MAX($I$11:$I$15),$I12," ")</f>
        <v xml:space="preserve"> </v>
      </c>
      <c r="M11" s="8" t="str">
        <f t="shared" ref="M11:M14" si="3">IF($I12&lt;=MIN($I$11:$I$15),$I12," ")</f>
        <v xml:space="preserve"> </v>
      </c>
      <c r="N11" s="3" t="s">
        <v>12</v>
      </c>
      <c r="O11" s="14">
        <v>34507.072000000007</v>
      </c>
      <c r="S11" s="3" t="s">
        <v>60</v>
      </c>
      <c r="T11" s="14">
        <v>38998.267999999982</v>
      </c>
      <c r="W11" s="3" t="s">
        <v>82</v>
      </c>
      <c r="X11" s="10">
        <v>32968.452999999994</v>
      </c>
      <c r="Z11" s="3" t="s">
        <v>86</v>
      </c>
      <c r="AA11" s="14">
        <v>4491.7999999999993</v>
      </c>
      <c r="AC11" s="3" t="str">
        <v>Mar</v>
      </c>
      <c r="AD11" s="14">
        <v>9215.4800000000014</v>
      </c>
      <c r="AE11" t="str">
        <f t="shared" si="0"/>
        <v xml:space="preserve"> </v>
      </c>
      <c r="AF11" t="str">
        <f t="shared" si="1"/>
        <v xml:space="preserve"> </v>
      </c>
      <c r="AH11" s="3" t="s">
        <v>255</v>
      </c>
      <c r="AI11" s="4">
        <v>7999.98</v>
      </c>
      <c r="AK11" t="str">
        <v>Cubify CubeX 3D Printer Triple Head Print</v>
      </c>
      <c r="AL11">
        <v>7999.98</v>
      </c>
    </row>
    <row r="12" spans="4:38" x14ac:dyDescent="0.3">
      <c r="D12" s="3" t="s">
        <v>6</v>
      </c>
      <c r="E12" s="1">
        <v>45556.806999999979</v>
      </c>
      <c r="F12" s="1">
        <v>7283.0047000000022</v>
      </c>
      <c r="H12" s="3" t="s">
        <v>17</v>
      </c>
      <c r="I12" s="4">
        <v>25759.09299999999</v>
      </c>
      <c r="J12" t="str">
        <v>Texas</v>
      </c>
      <c r="K12" s="8">
        <v>13575.320799999996</v>
      </c>
      <c r="L12" s="8" t="str">
        <f t="shared" si="2"/>
        <v xml:space="preserve"> </v>
      </c>
      <c r="M12" s="8" t="str">
        <f t="shared" si="3"/>
        <v xml:space="preserve"> </v>
      </c>
      <c r="N12" s="3" t="s">
        <v>10</v>
      </c>
      <c r="O12" s="14">
        <v>40825.438799999989</v>
      </c>
      <c r="S12" s="3" t="s">
        <v>59</v>
      </c>
      <c r="T12" s="14">
        <v>52094.397999999928</v>
      </c>
      <c r="W12" s="3" t="s">
        <v>83</v>
      </c>
      <c r="X12" s="10">
        <v>38149.873999999996</v>
      </c>
      <c r="Z12" s="3" t="s">
        <v>87</v>
      </c>
      <c r="AA12" s="14">
        <v>9215.4800000000014</v>
      </c>
      <c r="AC12" s="3" t="str">
        <v>Apr</v>
      </c>
      <c r="AD12" s="14">
        <v>11190.254999999999</v>
      </c>
      <c r="AE12" t="str">
        <f t="shared" si="0"/>
        <v xml:space="preserve"> </v>
      </c>
      <c r="AF12" t="str">
        <f t="shared" si="1"/>
        <v xml:space="preserve"> </v>
      </c>
      <c r="AH12" s="3" t="s">
        <v>155</v>
      </c>
      <c r="AI12" s="4">
        <v>4548.8100000000004</v>
      </c>
      <c r="AK12" t="str">
        <v>Apple iPhone 5</v>
      </c>
      <c r="AL12">
        <v>4548.8100000000004</v>
      </c>
    </row>
    <row r="13" spans="4:38" x14ac:dyDescent="0.3">
      <c r="D13" s="3" t="s">
        <v>7</v>
      </c>
      <c r="E13" s="1">
        <v>69746.948999999993</v>
      </c>
      <c r="F13" s="1">
        <v>7673.3624999999965</v>
      </c>
      <c r="H13" s="3" t="s">
        <v>50</v>
      </c>
      <c r="I13" s="4">
        <v>13575.320799999996</v>
      </c>
      <c r="J13" t="str">
        <v>North Carolina</v>
      </c>
      <c r="K13" s="8">
        <v>12997.810000000001</v>
      </c>
      <c r="L13" s="8" t="str">
        <f t="shared" si="2"/>
        <v xml:space="preserve"> </v>
      </c>
      <c r="M13" s="8" t="str">
        <f t="shared" si="3"/>
        <v xml:space="preserve"> </v>
      </c>
      <c r="N13" s="3" t="s">
        <v>13</v>
      </c>
      <c r="O13" s="14">
        <v>42225.006999999954</v>
      </c>
      <c r="S13" s="3" t="s">
        <v>58</v>
      </c>
      <c r="T13" s="14">
        <v>77359.1878</v>
      </c>
      <c r="W13" s="3" t="s">
        <v>84</v>
      </c>
      <c r="X13" s="10">
        <v>61761.664799999948</v>
      </c>
      <c r="Z13" s="3" t="s">
        <v>88</v>
      </c>
      <c r="AA13" s="14">
        <v>11190.254999999999</v>
      </c>
      <c r="AC13" s="3" t="str">
        <v>May</v>
      </c>
      <c r="AD13" s="14">
        <v>10749.963999999994</v>
      </c>
      <c r="AE13" t="str">
        <f t="shared" si="0"/>
        <v xml:space="preserve"> </v>
      </c>
      <c r="AF13" t="str">
        <f t="shared" si="1"/>
        <v xml:space="preserve"> </v>
      </c>
      <c r="AH13" s="3" t="s">
        <v>564</v>
      </c>
      <c r="AI13" s="4">
        <v>3083.43</v>
      </c>
      <c r="AK13" t="str">
        <v>Riverside Palais Royal Lawyers Bookcase, Royale Cherry Finish</v>
      </c>
      <c r="AL13">
        <v>3083.43</v>
      </c>
    </row>
    <row r="14" spans="4:38" x14ac:dyDescent="0.3">
      <c r="D14" s="3" t="s">
        <v>8</v>
      </c>
      <c r="E14" s="6">
        <v>168451.85379999992</v>
      </c>
      <c r="F14" s="6">
        <v>14634.7356</v>
      </c>
      <c r="H14" s="3" t="s">
        <v>42</v>
      </c>
      <c r="I14" s="4">
        <v>12997.810000000001</v>
      </c>
      <c r="J14" t="str">
        <v>Illinois</v>
      </c>
      <c r="K14" s="8">
        <v>8604.7820000000011</v>
      </c>
      <c r="L14" s="8" t="str">
        <f t="shared" si="2"/>
        <v xml:space="preserve"> </v>
      </c>
      <c r="M14" s="8">
        <f t="shared" si="3"/>
        <v>8604.7820000000011</v>
      </c>
      <c r="N14" s="3" t="s">
        <v>11</v>
      </c>
      <c r="O14" s="14">
        <v>50894.335999999981</v>
      </c>
      <c r="S14" s="3" t="s">
        <v>8</v>
      </c>
      <c r="T14" s="14">
        <v>168451.85379999992</v>
      </c>
      <c r="W14" s="3" t="s">
        <v>8</v>
      </c>
      <c r="X14" s="10">
        <v>168451.85379999992</v>
      </c>
      <c r="Z14" s="3" t="s">
        <v>89</v>
      </c>
      <c r="AA14" s="14">
        <v>10749.963999999994</v>
      </c>
      <c r="AC14" s="3" t="str">
        <v>Jun</v>
      </c>
      <c r="AD14" s="14">
        <v>11586.185000000001</v>
      </c>
      <c r="AE14" t="str">
        <f t="shared" si="0"/>
        <v xml:space="preserve"> </v>
      </c>
      <c r="AF14" t="str">
        <f t="shared" si="1"/>
        <v xml:space="preserve"> </v>
      </c>
      <c r="AH14" s="3" t="s">
        <v>358</v>
      </c>
      <c r="AI14" s="4">
        <v>3059.9859999999999</v>
      </c>
      <c r="AK14" t="str">
        <v>Global Deluxe High-Back Manager's Chair</v>
      </c>
      <c r="AL14">
        <v>3059.9859999999999</v>
      </c>
    </row>
    <row r="15" spans="4:38" x14ac:dyDescent="0.3">
      <c r="H15" s="3" t="s">
        <v>24</v>
      </c>
      <c r="I15" s="4">
        <v>8604.7820000000011</v>
      </c>
      <c r="J15" t="str">
        <v>Pennsylvania</v>
      </c>
      <c r="K15" s="8">
        <v>7788.8920000000016</v>
      </c>
      <c r="L15" s="8"/>
      <c r="N15" s="3" t="s">
        <v>8</v>
      </c>
      <c r="O15" s="14">
        <v>168451.85379999992</v>
      </c>
      <c r="Z15" s="3" t="s">
        <v>90</v>
      </c>
      <c r="AA15" s="14">
        <v>11586.185000000001</v>
      </c>
      <c r="AC15" s="3" t="str">
        <v>Jul</v>
      </c>
      <c r="AD15" s="14">
        <v>6262.6280000000006</v>
      </c>
      <c r="AE15" t="str">
        <f t="shared" si="0"/>
        <v xml:space="preserve"> </v>
      </c>
      <c r="AF15" t="str">
        <f t="shared" si="1"/>
        <v xml:space="preserve"> </v>
      </c>
      <c r="AH15" s="3" t="s">
        <v>436</v>
      </c>
      <c r="AI15" s="4">
        <v>3059.982</v>
      </c>
      <c r="AK15" t="str">
        <v>Lexmark MX611dhe Monochrome Laser Printer</v>
      </c>
      <c r="AL15">
        <v>3059.982</v>
      </c>
    </row>
    <row r="16" spans="4:38" x14ac:dyDescent="0.3">
      <c r="H16" s="3" t="s">
        <v>46</v>
      </c>
      <c r="I16" s="4">
        <v>7788.8920000000016</v>
      </c>
      <c r="J16" t="str">
        <v>Washington</v>
      </c>
      <c r="K16" s="8">
        <v>7519.3739999999998</v>
      </c>
      <c r="L16" s="8"/>
      <c r="W16" t="str" cm="1">
        <f t="array" ref="W16:X19">W10:X13</f>
        <v>2014</v>
      </c>
      <c r="X16" s="12">
        <v>35571.861999999986</v>
      </c>
      <c r="Z16" s="3" t="s">
        <v>91</v>
      </c>
      <c r="AA16" s="14">
        <v>6262.6280000000006</v>
      </c>
      <c r="AC16" s="3" t="str">
        <v>Aug</v>
      </c>
      <c r="AD16" s="14">
        <v>10356.392999999998</v>
      </c>
      <c r="AE16" t="str">
        <f t="shared" si="0"/>
        <v xml:space="preserve"> </v>
      </c>
      <c r="AF16" t="str">
        <f t="shared" si="1"/>
        <v xml:space="preserve"> </v>
      </c>
      <c r="AH16" s="3" t="s">
        <v>221</v>
      </c>
      <c r="AI16" s="4">
        <v>3046.8375000000001</v>
      </c>
      <c r="AK16" t="str">
        <v>Bretford CR4500 Series Slim Rectangular Table</v>
      </c>
      <c r="AL16">
        <v>3046.8375000000001</v>
      </c>
    </row>
    <row r="17" spans="4:38" x14ac:dyDescent="0.3">
      <c r="D17" t="str" cm="1">
        <f t="array" ref="D17:F19">D11:F13</f>
        <v>Furniture</v>
      </c>
      <c r="E17" s="5">
        <v>53148.097799999952</v>
      </c>
      <c r="F17" s="5">
        <v>-321.63159999999948</v>
      </c>
      <c r="H17" s="3" t="s">
        <v>53</v>
      </c>
      <c r="I17" s="4">
        <v>7519.3739999999998</v>
      </c>
      <c r="J17" t="str">
        <v>Ohio</v>
      </c>
      <c r="K17" s="8">
        <v>6168.386999999997</v>
      </c>
      <c r="L17" s="8"/>
      <c r="N17" t="str" cm="1">
        <f t="array" ref="N17:P20">N11:P14</f>
        <v>South</v>
      </c>
      <c r="O17" s="14">
        <v>34507.072000000007</v>
      </c>
      <c r="P17" s="8">
        <v>0</v>
      </c>
      <c r="Q17" t="s">
        <v>62</v>
      </c>
      <c r="R17" t="s">
        <v>55</v>
      </c>
      <c r="S17" t="str" cm="1">
        <f t="array" ref="S17:T19">S11:T13</f>
        <v>Home Office</v>
      </c>
      <c r="T17" s="14">
        <v>38998.267999999982</v>
      </c>
      <c r="U17" t="s">
        <v>55</v>
      </c>
      <c r="V17" t="s">
        <v>62</v>
      </c>
      <c r="W17" t="str">
        <v>2015</v>
      </c>
      <c r="X17" s="12">
        <v>32968.452999999994</v>
      </c>
      <c r="Z17" s="3" t="s">
        <v>92</v>
      </c>
      <c r="AA17" s="14">
        <v>10356.392999999998</v>
      </c>
      <c r="AC17" s="3" t="str">
        <v>Sep</v>
      </c>
      <c r="AD17" s="14">
        <v>24859.699999999993</v>
      </c>
      <c r="AE17" t="str">
        <f t="shared" si="0"/>
        <v xml:space="preserve"> </v>
      </c>
      <c r="AF17" t="str">
        <f t="shared" si="1"/>
        <v xml:space="preserve"> </v>
      </c>
      <c r="AH17" s="3" t="s">
        <v>156</v>
      </c>
      <c r="AI17" s="4">
        <v>2735.9520000000002</v>
      </c>
      <c r="AK17" t="str">
        <v>Apple iPhone 5S</v>
      </c>
      <c r="AL17">
        <v>2735.9520000000002</v>
      </c>
    </row>
    <row r="18" spans="4:38" x14ac:dyDescent="0.3">
      <c r="D18" t="str">
        <v>Office Supplies</v>
      </c>
      <c r="E18" s="5">
        <v>45556.806999999979</v>
      </c>
      <c r="F18" s="5">
        <v>7283.0047000000022</v>
      </c>
      <c r="H18" s="3" t="s">
        <v>43</v>
      </c>
      <c r="I18" s="4">
        <v>6168.386999999997</v>
      </c>
      <c r="J18" t="str">
        <v>Florida</v>
      </c>
      <c r="K18" s="8">
        <v>5844.5340000000006</v>
      </c>
      <c r="L18" s="8"/>
      <c r="N18" t="str">
        <v>Central</v>
      </c>
      <c r="O18" s="14">
        <v>40825.438799999989</v>
      </c>
      <c r="P18" s="8">
        <v>0</v>
      </c>
      <c r="Q18">
        <f>IF($O11&lt;=MIN($O$11:$O$14),$O11," ")</f>
        <v>34507.072000000007</v>
      </c>
      <c r="R18" t="str">
        <f>IF($O11&gt;=MAX($O$11:$O$14),$O11," ")</f>
        <v xml:space="preserve"> </v>
      </c>
      <c r="S18" t="str">
        <v>Corporate</v>
      </c>
      <c r="T18" s="14">
        <v>52094.397999999928</v>
      </c>
      <c r="U18" t="str">
        <f>IF($T11&gt;=MAX($T$11:$T$13),$T11," ")</f>
        <v xml:space="preserve"> </v>
      </c>
      <c r="V18">
        <f>IF($T11&lt;=MIN($T$11:$T$13),$T11," ")</f>
        <v>38998.267999999982</v>
      </c>
      <c r="W18" t="str">
        <v>2016</v>
      </c>
      <c r="X18" s="12">
        <v>38149.873999999996</v>
      </c>
      <c r="Z18" s="3" t="s">
        <v>93</v>
      </c>
      <c r="AA18" s="14">
        <v>24859.699999999993</v>
      </c>
      <c r="AC18" s="3" t="str">
        <v>Oct</v>
      </c>
      <c r="AD18" s="14">
        <v>27632.456499999997</v>
      </c>
      <c r="AE18">
        <f t="shared" si="0"/>
        <v>27632.456499999997</v>
      </c>
      <c r="AF18" t="str">
        <f t="shared" si="1"/>
        <v xml:space="preserve"> </v>
      </c>
      <c r="AH18" s="3" t="s">
        <v>321</v>
      </c>
      <c r="AI18" s="4">
        <v>2715.93</v>
      </c>
      <c r="AK18" t="str">
        <v>Fellowes PB300 Plastic Comb Binding Machine</v>
      </c>
      <c r="AL18">
        <v>2715.93</v>
      </c>
    </row>
    <row r="19" spans="4:38" x14ac:dyDescent="0.3">
      <c r="D19" t="str">
        <v>Technology</v>
      </c>
      <c r="E19" s="5">
        <v>69746.948999999993</v>
      </c>
      <c r="F19" s="5">
        <v>7673.3624999999965</v>
      </c>
      <c r="H19" s="3" t="s">
        <v>22</v>
      </c>
      <c r="I19" s="4">
        <v>5844.5340000000006</v>
      </c>
      <c r="J19" t="str">
        <v>Minnesota</v>
      </c>
      <c r="K19" s="8">
        <v>4526.2800000000007</v>
      </c>
      <c r="L19" s="8"/>
      <c r="N19" t="str">
        <v>West</v>
      </c>
      <c r="O19" s="14">
        <v>42225.006999999954</v>
      </c>
      <c r="P19" s="8">
        <v>0</v>
      </c>
      <c r="Q19" t="str">
        <f t="shared" ref="Q19:Q20" si="4">IF($O12&lt;=MIN($O$11:$O$14),$O12," ")</f>
        <v xml:space="preserve"> </v>
      </c>
      <c r="R19" t="str">
        <f t="shared" ref="R19:R21" si="5">IF($O12&gt;=MAX($O$11:$O$14),$O12," ")</f>
        <v xml:space="preserve"> </v>
      </c>
      <c r="S19" t="str">
        <v>Consumer</v>
      </c>
      <c r="T19" s="14">
        <v>77359.1878</v>
      </c>
      <c r="U19" t="str">
        <f t="shared" ref="U19:U20" si="6">IF($T12&gt;=MAX($T$11:$T$13),$T12," ")</f>
        <v xml:space="preserve"> </v>
      </c>
      <c r="V19" t="str">
        <f t="shared" ref="V19:V20" si="7">IF($T12&lt;=MIN($T$11:$T$13),$T12," ")</f>
        <v xml:space="preserve"> </v>
      </c>
      <c r="W19" t="str">
        <v>2017</v>
      </c>
      <c r="X19" s="12">
        <v>61761.664799999948</v>
      </c>
      <c r="Z19" s="3" t="s">
        <v>94</v>
      </c>
      <c r="AA19" s="14">
        <v>27632.456499999997</v>
      </c>
      <c r="AC19" s="3" t="str">
        <v>Nov</v>
      </c>
      <c r="AD19" s="14">
        <v>26763.347300000001</v>
      </c>
      <c r="AE19" t="str">
        <f t="shared" si="0"/>
        <v xml:space="preserve"> </v>
      </c>
      <c r="AF19" t="str">
        <f t="shared" si="1"/>
        <v xml:space="preserve"> </v>
      </c>
      <c r="AH19" s="3" t="s">
        <v>245</v>
      </c>
      <c r="AI19" s="4">
        <v>2479.96</v>
      </c>
      <c r="AK19" t="str">
        <v>ClearOne CHATAttach 160 - speaker phone</v>
      </c>
      <c r="AL19">
        <v>2479.96</v>
      </c>
    </row>
    <row r="20" spans="4:38" x14ac:dyDescent="0.3">
      <c r="H20" s="3" t="s">
        <v>33</v>
      </c>
      <c r="I20" s="4">
        <v>4526.2800000000007</v>
      </c>
      <c r="J20" t="str">
        <v>Michigan</v>
      </c>
      <c r="K20" s="8">
        <v>3801.3060000000005</v>
      </c>
      <c r="L20" s="8"/>
      <c r="N20" t="str">
        <v>East</v>
      </c>
      <c r="O20" s="14">
        <v>50894.335999999981</v>
      </c>
      <c r="P20" s="8">
        <v>0</v>
      </c>
      <c r="Q20" t="str">
        <f t="shared" si="4"/>
        <v xml:space="preserve"> </v>
      </c>
      <c r="R20" t="str">
        <f t="shared" si="5"/>
        <v xml:space="preserve"> </v>
      </c>
      <c r="U20">
        <f t="shared" si="6"/>
        <v>77359.1878</v>
      </c>
      <c r="V20" t="str">
        <f t="shared" si="7"/>
        <v xml:space="preserve"> </v>
      </c>
      <c r="W20" t="s">
        <v>55</v>
      </c>
      <c r="X20" t="s">
        <v>56</v>
      </c>
      <c r="Z20" s="3" t="s">
        <v>95</v>
      </c>
      <c r="AA20" s="14">
        <v>26763.347300000001</v>
      </c>
      <c r="AC20" s="3" t="str">
        <v>Dec</v>
      </c>
      <c r="AD20" s="14">
        <v>21214.465</v>
      </c>
      <c r="AE20" t="str">
        <f t="shared" si="0"/>
        <v xml:space="preserve"> </v>
      </c>
      <c r="AF20" t="str">
        <f t="shared" si="1"/>
        <v xml:space="preserve"> </v>
      </c>
      <c r="AH20" s="3" t="s">
        <v>335</v>
      </c>
      <c r="AI20" s="4">
        <v>1793.98</v>
      </c>
    </row>
    <row r="21" spans="4:38" x14ac:dyDescent="0.3">
      <c r="D21" t="s">
        <v>55</v>
      </c>
      <c r="E21" t="s">
        <v>56</v>
      </c>
      <c r="H21" s="3" t="s">
        <v>32</v>
      </c>
      <c r="I21" s="4">
        <v>3801.3060000000005</v>
      </c>
      <c r="J21" t="str">
        <v>Virginia</v>
      </c>
      <c r="K21" s="8">
        <v>3785.17</v>
      </c>
      <c r="L21" s="8"/>
      <c r="R21">
        <f t="shared" si="5"/>
        <v>50894.335999999981</v>
      </c>
      <c r="W21" t="str">
        <f t="shared" ref="W21" si="8">IF($X16&gt;=MAX($X$16:$X$19),$X16," ")</f>
        <v xml:space="preserve"> </v>
      </c>
      <c r="X21" t="str">
        <f>IF($X16&lt;=MIN($X$16:$X$19),$X16," ")</f>
        <v xml:space="preserve"> </v>
      </c>
      <c r="Z21" s="3" t="s">
        <v>96</v>
      </c>
      <c r="AA21" s="14">
        <v>21214.465</v>
      </c>
      <c r="AC21" s="3"/>
      <c r="AD21" s="10"/>
      <c r="AH21" s="3" t="s">
        <v>396</v>
      </c>
      <c r="AI21" s="4">
        <v>1749.0060000000001</v>
      </c>
    </row>
    <row r="22" spans="4:38" x14ac:dyDescent="0.3">
      <c r="H22" s="3" t="s">
        <v>52</v>
      </c>
      <c r="I22" s="4">
        <v>3785.17</v>
      </c>
      <c r="J22" t="str">
        <v>Colorado</v>
      </c>
      <c r="K22" s="8">
        <v>3718.7020000000002</v>
      </c>
      <c r="L22" s="8"/>
      <c r="W22" t="str">
        <f t="shared" ref="W22" si="9">IF($X17&gt;=MAX($X$16:$X$19),$X17," ")</f>
        <v xml:space="preserve"> </v>
      </c>
      <c r="X22">
        <f t="shared" ref="X22:X24" si="10">IF($X17&lt;=MIN($X$16:$X$19),$X17," ")</f>
        <v>32968.452999999994</v>
      </c>
      <c r="Z22" s="3" t="s">
        <v>8</v>
      </c>
      <c r="AA22" s="14">
        <v>168451.85379999998</v>
      </c>
      <c r="AH22" s="3" t="s">
        <v>595</v>
      </c>
      <c r="AI22" s="4">
        <v>1622.3040000000001</v>
      </c>
    </row>
    <row r="23" spans="4:38" x14ac:dyDescent="0.3">
      <c r="H23" s="3" t="s">
        <v>18</v>
      </c>
      <c r="I23" s="4">
        <v>3718.7020000000002</v>
      </c>
      <c r="J23" t="str">
        <v>Arizona</v>
      </c>
      <c r="K23" s="8">
        <v>2961.0839999999994</v>
      </c>
      <c r="L23" s="8"/>
      <c r="W23" t="str">
        <f t="shared" ref="W23" si="11">IF($X18&gt;=MAX($X$16:$X$19),$X18," ")</f>
        <v xml:space="preserve"> </v>
      </c>
      <c r="X23" t="str">
        <f t="shared" si="10"/>
        <v xml:space="preserve"> </v>
      </c>
      <c r="AH23" s="3" t="s">
        <v>202</v>
      </c>
      <c r="AI23" s="4">
        <v>1618.37</v>
      </c>
    </row>
    <row r="24" spans="4:38" x14ac:dyDescent="0.3">
      <c r="H24" s="3" t="s">
        <v>15</v>
      </c>
      <c r="I24" s="4">
        <v>2961.0839999999994</v>
      </c>
      <c r="J24" t="str">
        <v>Indiana</v>
      </c>
      <c r="K24" s="8">
        <v>2855.19</v>
      </c>
      <c r="L24" s="8"/>
      <c r="N24" s="17" t="s">
        <v>733</v>
      </c>
      <c r="O24" s="17"/>
      <c r="W24">
        <f t="shared" ref="W24" si="12">IF($X19&gt;=MAX($X$16:$X$19),$X19," ")</f>
        <v>61761.664799999948</v>
      </c>
      <c r="X24" t="str">
        <f t="shared" si="10"/>
        <v xml:space="preserve"> </v>
      </c>
      <c r="AH24" s="3" t="s">
        <v>353</v>
      </c>
      <c r="AI24" s="4">
        <v>1567.92</v>
      </c>
    </row>
    <row r="25" spans="4:38" x14ac:dyDescent="0.3">
      <c r="H25" s="3" t="s">
        <v>25</v>
      </c>
      <c r="I25" s="4">
        <v>2855.19</v>
      </c>
      <c r="J25" t="str">
        <v>Wisconsin</v>
      </c>
      <c r="K25" s="8">
        <v>2519.2899999999995</v>
      </c>
      <c r="L25" s="8"/>
      <c r="N25" s="2" t="s">
        <v>4</v>
      </c>
      <c r="O25" t="s">
        <v>0</v>
      </c>
      <c r="Z25" s="15" t="s">
        <v>739</v>
      </c>
      <c r="AA25" s="15"/>
      <c r="AH25" s="3" t="s">
        <v>163</v>
      </c>
      <c r="AI25" s="4">
        <v>1552.8309999999999</v>
      </c>
    </row>
    <row r="26" spans="4:38" x14ac:dyDescent="0.3">
      <c r="H26" s="3" t="s">
        <v>54</v>
      </c>
      <c r="I26" s="4">
        <v>2519.2899999999995</v>
      </c>
      <c r="J26" t="str">
        <v>Nebraska</v>
      </c>
      <c r="K26" s="8">
        <v>2499.42</v>
      </c>
      <c r="L26" s="8"/>
      <c r="N26" s="3" t="s">
        <v>72</v>
      </c>
      <c r="O26" s="14">
        <v>186.59799999999998</v>
      </c>
      <c r="Q26" t="str" cm="1">
        <f t="array" ref="Q26:R30">N26:O30</f>
        <v>Fasteners</v>
      </c>
      <c r="R26" s="14">
        <v>186.59799999999998</v>
      </c>
      <c r="T26" t="str" cm="1">
        <f t="array" ref="T26:U31">N26:O31</f>
        <v>Fasteners</v>
      </c>
      <c r="U26" s="9">
        <v>186.59799999999998</v>
      </c>
      <c r="Z26" s="2" t="s">
        <v>4</v>
      </c>
      <c r="AA26" t="s">
        <v>0</v>
      </c>
      <c r="AE26" t="s">
        <v>55</v>
      </c>
      <c r="AF26" t="s">
        <v>56</v>
      </c>
      <c r="AH26" s="3" t="s">
        <v>510</v>
      </c>
      <c r="AI26" s="4">
        <v>1488.424</v>
      </c>
    </row>
    <row r="27" spans="4:38" x14ac:dyDescent="0.3">
      <c r="H27" s="3" t="s">
        <v>36</v>
      </c>
      <c r="I27" s="4">
        <v>2499.42</v>
      </c>
      <c r="J27" t="str">
        <v>Tennessee</v>
      </c>
      <c r="K27" s="8">
        <v>2471.0280000000007</v>
      </c>
      <c r="L27" s="8"/>
      <c r="N27" s="3" t="s">
        <v>74</v>
      </c>
      <c r="O27" s="14">
        <v>721.18799999999999</v>
      </c>
      <c r="Q27" t="str">
        <v>Labels</v>
      </c>
      <c r="R27" s="14">
        <v>721.18799999999999</v>
      </c>
      <c r="T27" t="str">
        <v>Labels</v>
      </c>
      <c r="U27" s="9">
        <v>721.18799999999999</v>
      </c>
      <c r="W27">
        <f>IF($O26&lt;=MIN($O$26:$O$35),$O26," ")</f>
        <v>186.59799999999998</v>
      </c>
      <c r="Z27" s="3" t="s">
        <v>736</v>
      </c>
      <c r="AA27" s="14">
        <v>15420.470000000003</v>
      </c>
      <c r="AC27" t="str" cm="1">
        <f t="array" ref="AC27:AD30">Z27:AA30</f>
        <v>Same Day</v>
      </c>
      <c r="AD27" s="13">
        <v>15420.470000000003</v>
      </c>
      <c r="AE27" t="str">
        <f>IF($AA27&gt;=MAX($AA$27:$AA$30),$AA27," ")</f>
        <v xml:space="preserve"> </v>
      </c>
      <c r="AF27">
        <f>IF($AA27&lt;=MIN($AA$27:$AA$30),$AA27," ")</f>
        <v>15420.470000000003</v>
      </c>
      <c r="AH27" s="3" t="s">
        <v>523</v>
      </c>
      <c r="AI27" s="4">
        <v>1450.326</v>
      </c>
    </row>
    <row r="28" spans="4:38" x14ac:dyDescent="0.3">
      <c r="H28" s="3" t="s">
        <v>49</v>
      </c>
      <c r="I28" s="4">
        <v>2471.0280000000007</v>
      </c>
      <c r="J28" t="str">
        <v>Rhode Island</v>
      </c>
      <c r="K28" s="8">
        <v>2409.0100000000002</v>
      </c>
      <c r="L28" s="8"/>
      <c r="N28" s="3" t="s">
        <v>71</v>
      </c>
      <c r="O28" s="14">
        <v>1393.2159999999999</v>
      </c>
      <c r="Q28" t="str">
        <v>Envelopes</v>
      </c>
      <c r="R28" s="14">
        <v>1393.2159999999999</v>
      </c>
      <c r="T28" t="str">
        <v>Envelopes</v>
      </c>
      <c r="U28" s="9">
        <v>1393.2159999999999</v>
      </c>
      <c r="W28" t="str">
        <f t="shared" ref="W28:W35" si="13">IF($O27&lt;=MIN($O$26:$O$35),$O27," ")</f>
        <v xml:space="preserve"> </v>
      </c>
      <c r="Z28" s="3" t="s">
        <v>737</v>
      </c>
      <c r="AA28" s="14">
        <v>35796.597999999969</v>
      </c>
      <c r="AC28" t="str">
        <v>Second Class</v>
      </c>
      <c r="AD28" s="13">
        <v>35796.597999999969</v>
      </c>
      <c r="AE28" t="str">
        <f t="shared" ref="AE28:AE30" si="14">IF($AA28&gt;=MAX($AA$27:$AA$30),$AA28," ")</f>
        <v xml:space="preserve"> </v>
      </c>
      <c r="AF28" t="str">
        <f t="shared" ref="AF28:AF30" si="15">IF($AA28&lt;=MIN($AA$27:$AA$30),$AA28," ")</f>
        <v xml:space="preserve"> </v>
      </c>
      <c r="AH28" s="3" t="s">
        <v>380</v>
      </c>
      <c r="AI28" s="4">
        <v>1439.9760000000001</v>
      </c>
    </row>
    <row r="29" spans="4:38" x14ac:dyDescent="0.3">
      <c r="H29" s="3" t="s">
        <v>47</v>
      </c>
      <c r="I29" s="4">
        <v>2409.0100000000002</v>
      </c>
      <c r="J29" t="str">
        <v>Georgia</v>
      </c>
      <c r="K29" s="8">
        <v>2407.3800000000006</v>
      </c>
      <c r="L29" s="8"/>
      <c r="N29" s="3" t="s">
        <v>79</v>
      </c>
      <c r="O29" s="14">
        <v>1810.6459999999997</v>
      </c>
      <c r="Q29" t="str">
        <v>Supplies</v>
      </c>
      <c r="R29" s="14">
        <v>1810.6459999999997</v>
      </c>
      <c r="T29" t="str">
        <v>Supplies</v>
      </c>
      <c r="U29" s="9">
        <v>1810.6459999999997</v>
      </c>
      <c r="W29" t="str">
        <f t="shared" si="13"/>
        <v xml:space="preserve"> </v>
      </c>
      <c r="Z29" s="3" t="s">
        <v>735</v>
      </c>
      <c r="AA29" s="14">
        <v>42110.000000000015</v>
      </c>
      <c r="AC29" t="str">
        <v>First Class</v>
      </c>
      <c r="AD29" s="13">
        <v>42110.000000000015</v>
      </c>
      <c r="AE29" t="str">
        <f t="shared" si="14"/>
        <v xml:space="preserve"> </v>
      </c>
      <c r="AF29" t="str">
        <f t="shared" si="15"/>
        <v xml:space="preserve"> </v>
      </c>
      <c r="AH29" s="3" t="s">
        <v>669</v>
      </c>
      <c r="AI29" s="4">
        <v>1439.8</v>
      </c>
    </row>
    <row r="30" spans="4:38" x14ac:dyDescent="0.3">
      <c r="H30" s="3" t="s">
        <v>23</v>
      </c>
      <c r="I30" s="4">
        <v>2407.3800000000006</v>
      </c>
      <c r="J30" t="str">
        <v>Mississippi</v>
      </c>
      <c r="K30" s="8">
        <v>2168.83</v>
      </c>
      <c r="L30" s="8"/>
      <c r="N30" s="3" t="s">
        <v>66</v>
      </c>
      <c r="O30" s="14">
        <v>3209.7140000000009</v>
      </c>
      <c r="Q30" t="str">
        <v>Art</v>
      </c>
      <c r="R30" s="14">
        <v>3209.7140000000009</v>
      </c>
      <c r="T30" t="str">
        <v>Art</v>
      </c>
      <c r="U30" s="9">
        <v>3209.7140000000009</v>
      </c>
      <c r="W30" t="str">
        <f t="shared" si="13"/>
        <v xml:space="preserve"> </v>
      </c>
      <c r="Z30" s="3" t="s">
        <v>738</v>
      </c>
      <c r="AA30" s="14">
        <v>75124.785799999911</v>
      </c>
      <c r="AC30" t="str">
        <v>Standard Class</v>
      </c>
      <c r="AD30" s="13">
        <v>75124.785799999911</v>
      </c>
      <c r="AE30">
        <f t="shared" si="14"/>
        <v>75124.785799999911</v>
      </c>
      <c r="AF30" t="str">
        <f t="shared" si="15"/>
        <v xml:space="preserve"> </v>
      </c>
      <c r="AH30" s="3" t="s">
        <v>444</v>
      </c>
      <c r="AI30" s="4">
        <v>1399.944</v>
      </c>
    </row>
    <row r="31" spans="4:38" x14ac:dyDescent="0.3">
      <c r="H31" s="3" t="s">
        <v>34</v>
      </c>
      <c r="I31" s="4">
        <v>2168.83</v>
      </c>
      <c r="J31" t="str">
        <v>Massachusetts</v>
      </c>
      <c r="K31" s="8">
        <v>2042.2139999999999</v>
      </c>
      <c r="L31" s="8"/>
      <c r="N31" s="3" t="s">
        <v>76</v>
      </c>
      <c r="O31" s="14">
        <v>5502.3559999999979</v>
      </c>
      <c r="T31" t="str">
        <v>Paper</v>
      </c>
      <c r="U31" s="9">
        <v>5502.3559999999979</v>
      </c>
      <c r="W31" t="str">
        <f t="shared" si="13"/>
        <v xml:space="preserve"> </v>
      </c>
      <c r="Z31" s="3" t="s">
        <v>8</v>
      </c>
      <c r="AA31" s="14">
        <v>168451.8537999999</v>
      </c>
      <c r="AH31" s="3" t="s">
        <v>244</v>
      </c>
      <c r="AI31" s="4">
        <v>1363.96</v>
      </c>
    </row>
    <row r="32" spans="4:38" x14ac:dyDescent="0.3">
      <c r="H32" s="3" t="s">
        <v>31</v>
      </c>
      <c r="I32" s="4">
        <v>2042.2139999999999</v>
      </c>
      <c r="J32" t="str">
        <v>Alabama</v>
      </c>
      <c r="K32" s="8">
        <v>1822.5600000000002</v>
      </c>
      <c r="L32" s="8"/>
      <c r="N32" s="3" t="s">
        <v>73</v>
      </c>
      <c r="O32" s="14">
        <v>6148.1160000000018</v>
      </c>
      <c r="U32" s="9"/>
      <c r="V32" t="str">
        <f t="shared" ref="V32:V35" si="16">IF($O31&gt;=MAX($O$26:$O$35),$O31," ")</f>
        <v xml:space="preserve"> </v>
      </c>
      <c r="W32" t="str">
        <f t="shared" si="13"/>
        <v xml:space="preserve"> </v>
      </c>
      <c r="AH32" s="3" t="s">
        <v>235</v>
      </c>
      <c r="AI32" s="4">
        <v>1322.3520000000001</v>
      </c>
    </row>
    <row r="33" spans="8:35" x14ac:dyDescent="0.3">
      <c r="H33" s="3" t="s">
        <v>14</v>
      </c>
      <c r="I33" s="4">
        <v>1822.5600000000002</v>
      </c>
      <c r="J33" t="str">
        <v>Missouri</v>
      </c>
      <c r="K33" s="8">
        <v>1809.3599999999997</v>
      </c>
      <c r="L33" s="8"/>
      <c r="N33" s="3" t="s">
        <v>65</v>
      </c>
      <c r="O33" s="14">
        <v>6988.9739999999993</v>
      </c>
      <c r="U33" s="9"/>
      <c r="V33" t="str">
        <f t="shared" si="16"/>
        <v xml:space="preserve"> </v>
      </c>
      <c r="W33" t="str">
        <f t="shared" si="13"/>
        <v xml:space="preserve"> </v>
      </c>
      <c r="AH33" s="3" t="s">
        <v>390</v>
      </c>
      <c r="AI33" s="4">
        <v>1253.2089999999998</v>
      </c>
    </row>
    <row r="34" spans="8:35" x14ac:dyDescent="0.3">
      <c r="H34" s="3" t="s">
        <v>35</v>
      </c>
      <c r="I34" s="4">
        <v>1809.3599999999997</v>
      </c>
      <c r="J34" t="str">
        <v>Louisiana</v>
      </c>
      <c r="K34" s="8">
        <v>1757.6399999999999</v>
      </c>
      <c r="L34" s="8"/>
      <c r="N34" s="3" t="s">
        <v>68</v>
      </c>
      <c r="O34" s="14">
        <v>9650.7997999999989</v>
      </c>
      <c r="U34" s="9"/>
      <c r="V34" t="str">
        <f t="shared" si="16"/>
        <v xml:space="preserve"> </v>
      </c>
      <c r="W34" t="str">
        <f t="shared" si="13"/>
        <v xml:space="preserve"> </v>
      </c>
      <c r="AH34" s="3" t="s">
        <v>571</v>
      </c>
      <c r="AI34" s="4">
        <v>1250.04</v>
      </c>
    </row>
    <row r="35" spans="8:35" x14ac:dyDescent="0.3">
      <c r="H35" s="3" t="s">
        <v>29</v>
      </c>
      <c r="I35" s="4">
        <v>1757.6399999999999</v>
      </c>
      <c r="J35" t="str">
        <v>Connecticut</v>
      </c>
      <c r="K35" s="8">
        <v>1459.75</v>
      </c>
      <c r="L35" s="8"/>
      <c r="N35" s="3" t="s">
        <v>64</v>
      </c>
      <c r="O35" s="14">
        <v>9995.6979999999967</v>
      </c>
      <c r="U35" s="9"/>
      <c r="V35" t="str">
        <f t="shared" si="16"/>
        <v xml:space="preserve"> </v>
      </c>
      <c r="W35" t="str">
        <f t="shared" si="13"/>
        <v xml:space="preserve"> </v>
      </c>
      <c r="AH35" s="3" t="s">
        <v>319</v>
      </c>
      <c r="AI35" s="4">
        <v>1239.654</v>
      </c>
    </row>
    <row r="36" spans="8:35" x14ac:dyDescent="0.3">
      <c r="H36" s="3" t="s">
        <v>19</v>
      </c>
      <c r="I36" s="4">
        <v>1459.75</v>
      </c>
      <c r="J36" t="str">
        <v>Utah</v>
      </c>
      <c r="K36" s="8">
        <v>1270.7940000000001</v>
      </c>
      <c r="L36" s="8"/>
      <c r="N36" s="3" t="s">
        <v>67</v>
      </c>
      <c r="O36" s="14">
        <v>12468.223000000004</v>
      </c>
      <c r="U36" s="9"/>
      <c r="AH36" s="3" t="s">
        <v>239</v>
      </c>
      <c r="AI36" s="4">
        <v>1212.848</v>
      </c>
    </row>
    <row r="37" spans="8:35" x14ac:dyDescent="0.3">
      <c r="H37" s="3" t="s">
        <v>51</v>
      </c>
      <c r="I37" s="4">
        <v>1270.7940000000001</v>
      </c>
      <c r="J37" t="str">
        <v>Kentucky</v>
      </c>
      <c r="K37" s="8">
        <v>1140.46</v>
      </c>
      <c r="L37" s="8"/>
      <c r="N37" s="3" t="s">
        <v>78</v>
      </c>
      <c r="O37" s="14">
        <v>13275.892</v>
      </c>
      <c r="AH37" s="3" t="s">
        <v>379</v>
      </c>
      <c r="AI37" s="4">
        <v>1199.9760000000001</v>
      </c>
    </row>
    <row r="38" spans="8:35" x14ac:dyDescent="0.3">
      <c r="H38" s="3" t="s">
        <v>28</v>
      </c>
      <c r="I38" s="4">
        <v>1140.46</v>
      </c>
      <c r="J38" t="str">
        <v>New Jersey</v>
      </c>
      <c r="K38" s="8">
        <v>1037.0060000000001</v>
      </c>
      <c r="L38" s="8"/>
      <c r="N38" s="3" t="s">
        <v>75</v>
      </c>
      <c r="O38" s="14">
        <v>13315.971</v>
      </c>
      <c r="AH38" s="3" t="s">
        <v>539</v>
      </c>
      <c r="AI38" s="4">
        <v>1199.8</v>
      </c>
    </row>
    <row r="39" spans="8:35" x14ac:dyDescent="0.3">
      <c r="H39" s="3" t="s">
        <v>39</v>
      </c>
      <c r="I39" s="4">
        <v>1037.0060000000001</v>
      </c>
      <c r="J39" t="str">
        <v>New Mexico</v>
      </c>
      <c r="K39" s="8">
        <v>755.56999999999994</v>
      </c>
      <c r="L39" s="8"/>
      <c r="N39" s="3" t="s">
        <v>70</v>
      </c>
      <c r="O39" s="14">
        <v>14679.908000000001</v>
      </c>
      <c r="AH39" s="3" t="s">
        <v>385</v>
      </c>
      <c r="AI39" s="4">
        <v>1166.92</v>
      </c>
    </row>
    <row r="40" spans="8:35" x14ac:dyDescent="0.3">
      <c r="H40" s="3" t="s">
        <v>40</v>
      </c>
      <c r="I40" s="4">
        <v>755.56999999999994</v>
      </c>
      <c r="J40" t="str">
        <v>Oklahoma</v>
      </c>
      <c r="K40" s="8">
        <v>410.41</v>
      </c>
      <c r="L40" s="8"/>
      <c r="N40" s="3" t="s">
        <v>80</v>
      </c>
      <c r="O40" s="14">
        <v>17567.460999999999</v>
      </c>
      <c r="AH40" s="3" t="s">
        <v>337</v>
      </c>
      <c r="AI40" s="4">
        <v>1141.47</v>
      </c>
    </row>
    <row r="41" spans="8:35" x14ac:dyDescent="0.3">
      <c r="H41" s="3" t="s">
        <v>44</v>
      </c>
      <c r="I41" s="4">
        <v>410.41</v>
      </c>
      <c r="J41" t="str">
        <v>Delaware</v>
      </c>
      <c r="K41" s="8">
        <v>334.65</v>
      </c>
      <c r="L41" s="8"/>
      <c r="N41" s="3" t="s">
        <v>69</v>
      </c>
      <c r="O41" s="14">
        <v>19781.720999999994</v>
      </c>
      <c r="AH41" s="3" t="s">
        <v>577</v>
      </c>
      <c r="AI41" s="4">
        <v>1132.682</v>
      </c>
    </row>
    <row r="42" spans="8:35" x14ac:dyDescent="0.3">
      <c r="H42" s="3" t="s">
        <v>20</v>
      </c>
      <c r="I42" s="4">
        <v>334.65</v>
      </c>
      <c r="J42" t="str">
        <v>Maryland</v>
      </c>
      <c r="K42" s="8">
        <v>155.54</v>
      </c>
      <c r="L42" s="8"/>
      <c r="N42" s="3" t="s">
        <v>77</v>
      </c>
      <c r="O42" s="14">
        <v>31755.371999999999</v>
      </c>
      <c r="AH42" s="3" t="s">
        <v>580</v>
      </c>
      <c r="AI42" s="4">
        <v>1127.9760000000001</v>
      </c>
    </row>
    <row r="43" spans="8:35" x14ac:dyDescent="0.3">
      <c r="H43" s="3" t="s">
        <v>30</v>
      </c>
      <c r="I43" s="4">
        <v>155.54</v>
      </c>
      <c r="J43" t="str">
        <v>Nevada</v>
      </c>
      <c r="K43" s="8">
        <v>134.37200000000001</v>
      </c>
      <c r="L43" s="8"/>
      <c r="N43" s="3" t="s">
        <v>8</v>
      </c>
      <c r="O43" s="14">
        <v>168451.85379999998</v>
      </c>
      <c r="AH43" s="3" t="s">
        <v>387</v>
      </c>
      <c r="AI43" s="4">
        <v>1121.568</v>
      </c>
    </row>
    <row r="44" spans="8:35" x14ac:dyDescent="0.3">
      <c r="H44" s="3" t="s">
        <v>37</v>
      </c>
      <c r="I44" s="4">
        <v>134.37200000000001</v>
      </c>
      <c r="J44" t="str">
        <v>Arkansas</v>
      </c>
      <c r="K44" s="8">
        <v>111.66</v>
      </c>
      <c r="L44" s="8"/>
      <c r="AH44" s="3" t="s">
        <v>404</v>
      </c>
      <c r="AI44" s="4">
        <v>1113.0239999999999</v>
      </c>
    </row>
    <row r="45" spans="8:35" x14ac:dyDescent="0.3">
      <c r="H45" s="3" t="s">
        <v>16</v>
      </c>
      <c r="I45" s="4">
        <v>111.66</v>
      </c>
      <c r="J45" t="str">
        <v>Kansas</v>
      </c>
      <c r="K45" s="8">
        <v>107.94</v>
      </c>
      <c r="L45" s="8"/>
      <c r="AH45" s="3" t="s">
        <v>579</v>
      </c>
      <c r="AI45" s="4">
        <v>1048.3499999999999</v>
      </c>
    </row>
    <row r="46" spans="8:35" x14ac:dyDescent="0.3">
      <c r="H46" s="3" t="s">
        <v>27</v>
      </c>
      <c r="I46" s="4">
        <v>107.94</v>
      </c>
      <c r="J46" t="str">
        <v>Oregon</v>
      </c>
      <c r="K46" s="8">
        <v>106.018</v>
      </c>
      <c r="L46" s="8"/>
      <c r="AH46" s="3" t="s">
        <v>206</v>
      </c>
      <c r="AI46" s="4">
        <v>1038.8399999999999</v>
      </c>
    </row>
    <row r="47" spans="8:35" x14ac:dyDescent="0.3">
      <c r="H47" s="3" t="s">
        <v>45</v>
      </c>
      <c r="I47" s="4">
        <v>106.018</v>
      </c>
      <c r="J47" t="str">
        <v>New Hampshire</v>
      </c>
      <c r="K47" s="8">
        <v>101.9</v>
      </c>
      <c r="L47" s="8"/>
      <c r="AH47" s="3" t="s">
        <v>203</v>
      </c>
      <c r="AI47" s="4">
        <v>1029.5</v>
      </c>
    </row>
    <row r="48" spans="8:35" x14ac:dyDescent="0.3">
      <c r="H48" s="3" t="s">
        <v>38</v>
      </c>
      <c r="I48" s="4">
        <v>101.9</v>
      </c>
      <c r="J48" t="str">
        <v>Iowa</v>
      </c>
      <c r="K48" s="8">
        <v>101.52</v>
      </c>
      <c r="L48" s="8"/>
      <c r="AH48" s="3" t="s">
        <v>322</v>
      </c>
      <c r="AI48" s="4">
        <v>1016.792</v>
      </c>
    </row>
    <row r="49" spans="8:35" x14ac:dyDescent="0.3">
      <c r="H49" s="3" t="s">
        <v>26</v>
      </c>
      <c r="I49" s="4">
        <v>101.52</v>
      </c>
      <c r="J49" t="str">
        <v>District of Columbia</v>
      </c>
      <c r="K49" s="8">
        <v>19.440000000000001</v>
      </c>
      <c r="L49" s="8"/>
      <c r="AH49" s="3" t="s">
        <v>423</v>
      </c>
      <c r="AI49" s="4">
        <v>1008.3679999999999</v>
      </c>
    </row>
    <row r="50" spans="8:35" x14ac:dyDescent="0.3">
      <c r="H50" s="3" t="s">
        <v>21</v>
      </c>
      <c r="I50" s="4">
        <v>19.440000000000001</v>
      </c>
      <c r="J50" t="str">
        <v>South Dakota</v>
      </c>
      <c r="K50" s="8">
        <v>14.62</v>
      </c>
      <c r="L50" s="8"/>
      <c r="AH50" s="3" t="s">
        <v>227</v>
      </c>
      <c r="AI50" s="4">
        <v>1007.979</v>
      </c>
    </row>
    <row r="51" spans="8:35" x14ac:dyDescent="0.3">
      <c r="H51" s="3" t="s">
        <v>48</v>
      </c>
      <c r="I51" s="4">
        <v>14.62</v>
      </c>
      <c r="J51" t="str">
        <v>Grand Total</v>
      </c>
      <c r="K51" s="8">
        <v>168451.85379999998</v>
      </c>
      <c r="L51" s="8"/>
      <c r="AH51" s="3" t="s">
        <v>333</v>
      </c>
      <c r="AI51" s="4">
        <v>999.36199999999997</v>
      </c>
    </row>
    <row r="52" spans="8:35" x14ac:dyDescent="0.3">
      <c r="H52" s="3" t="s">
        <v>8</v>
      </c>
      <c r="I52" s="6">
        <v>168451.85379999998</v>
      </c>
      <c r="AH52" s="3" t="s">
        <v>362</v>
      </c>
      <c r="AI52" s="4">
        <v>963.13599999999997</v>
      </c>
    </row>
    <row r="53" spans="8:35" x14ac:dyDescent="0.3">
      <c r="AH53" s="3" t="s">
        <v>237</v>
      </c>
      <c r="AI53" s="4">
        <v>941.16599999999994</v>
      </c>
    </row>
    <row r="54" spans="8:35" x14ac:dyDescent="0.3">
      <c r="AH54" s="3" t="s">
        <v>164</v>
      </c>
      <c r="AI54" s="4">
        <v>899.13599999999997</v>
      </c>
    </row>
    <row r="55" spans="8:35" x14ac:dyDescent="0.3">
      <c r="AH55" s="3" t="s">
        <v>334</v>
      </c>
      <c r="AI55" s="4">
        <v>895.92</v>
      </c>
    </row>
    <row r="56" spans="8:35" x14ac:dyDescent="0.3">
      <c r="AH56" s="3" t="s">
        <v>193</v>
      </c>
      <c r="AI56" s="4">
        <v>892.98</v>
      </c>
    </row>
    <row r="57" spans="8:35" x14ac:dyDescent="0.3">
      <c r="AH57" s="3" t="s">
        <v>388</v>
      </c>
      <c r="AI57" s="4">
        <v>866.4</v>
      </c>
    </row>
    <row r="58" spans="8:35" x14ac:dyDescent="0.3">
      <c r="AH58" s="3" t="s">
        <v>241</v>
      </c>
      <c r="AI58" s="4">
        <v>863.64</v>
      </c>
    </row>
    <row r="59" spans="8:35" x14ac:dyDescent="0.3">
      <c r="AH59" s="3" t="s">
        <v>301</v>
      </c>
      <c r="AI59" s="4">
        <v>859.65</v>
      </c>
    </row>
    <row r="60" spans="8:35" x14ac:dyDescent="0.3">
      <c r="AH60" s="3" t="s">
        <v>229</v>
      </c>
      <c r="AI60" s="4">
        <v>839.98800000000006</v>
      </c>
    </row>
    <row r="61" spans="8:35" x14ac:dyDescent="0.3">
      <c r="AH61" s="3" t="s">
        <v>586</v>
      </c>
      <c r="AI61" s="4">
        <v>839.43</v>
      </c>
    </row>
    <row r="62" spans="8:35" x14ac:dyDescent="0.3">
      <c r="AH62" s="3" t="s">
        <v>250</v>
      </c>
      <c r="AI62" s="4">
        <v>835.17</v>
      </c>
    </row>
    <row r="63" spans="8:35" x14ac:dyDescent="0.3">
      <c r="AH63" s="3" t="s">
        <v>540</v>
      </c>
      <c r="AI63" s="4">
        <v>832.93</v>
      </c>
    </row>
    <row r="64" spans="8:35" x14ac:dyDescent="0.3">
      <c r="AH64" s="3" t="s">
        <v>381</v>
      </c>
      <c r="AI64" s="4">
        <v>831.93600000000004</v>
      </c>
    </row>
    <row r="65" spans="34:35" x14ac:dyDescent="0.3">
      <c r="AH65" s="3" t="s">
        <v>325</v>
      </c>
      <c r="AI65" s="4">
        <v>807.75</v>
      </c>
    </row>
    <row r="66" spans="34:35" x14ac:dyDescent="0.3">
      <c r="AH66" s="3" t="s">
        <v>392</v>
      </c>
      <c r="AI66" s="4">
        <v>787.53</v>
      </c>
    </row>
    <row r="67" spans="34:35" x14ac:dyDescent="0.3">
      <c r="AH67" s="3" t="s">
        <v>360</v>
      </c>
      <c r="AI67" s="4">
        <v>777.40800000000002</v>
      </c>
    </row>
    <row r="68" spans="34:35" x14ac:dyDescent="0.3">
      <c r="AH68" s="3" t="s">
        <v>389</v>
      </c>
      <c r="AI68" s="4">
        <v>764.68799999999999</v>
      </c>
    </row>
    <row r="69" spans="34:35" x14ac:dyDescent="0.3">
      <c r="AH69" s="3" t="s">
        <v>223</v>
      </c>
      <c r="AI69" s="4">
        <v>755.93700000000001</v>
      </c>
    </row>
    <row r="70" spans="34:35" x14ac:dyDescent="0.3">
      <c r="AH70" s="3" t="s">
        <v>386</v>
      </c>
      <c r="AI70" s="4">
        <v>727.45</v>
      </c>
    </row>
    <row r="71" spans="34:35" x14ac:dyDescent="0.3">
      <c r="AH71" s="3" t="s">
        <v>138</v>
      </c>
      <c r="AI71" s="4">
        <v>725.84</v>
      </c>
    </row>
    <row r="72" spans="34:35" x14ac:dyDescent="0.3">
      <c r="AH72" s="3" t="s">
        <v>474</v>
      </c>
      <c r="AI72" s="4">
        <v>719.952</v>
      </c>
    </row>
    <row r="73" spans="34:35" x14ac:dyDescent="0.3">
      <c r="AH73" s="3" t="s">
        <v>370</v>
      </c>
      <c r="AI73" s="4">
        <v>701.37199999999996</v>
      </c>
    </row>
    <row r="74" spans="34:35" x14ac:dyDescent="0.3">
      <c r="AH74" s="3" t="s">
        <v>238</v>
      </c>
      <c r="AI74" s="4">
        <v>695.7</v>
      </c>
    </row>
    <row r="75" spans="34:35" x14ac:dyDescent="0.3">
      <c r="AH75" s="3" t="s">
        <v>547</v>
      </c>
      <c r="AI75" s="4">
        <v>695.16</v>
      </c>
    </row>
    <row r="76" spans="34:35" x14ac:dyDescent="0.3">
      <c r="AH76" s="3" t="s">
        <v>283</v>
      </c>
      <c r="AI76" s="4">
        <v>694.91399999999999</v>
      </c>
    </row>
    <row r="77" spans="34:35" x14ac:dyDescent="0.3">
      <c r="AH77" s="3" t="s">
        <v>398</v>
      </c>
      <c r="AI77" s="4">
        <v>692.47199999999998</v>
      </c>
    </row>
    <row r="78" spans="34:35" x14ac:dyDescent="0.3">
      <c r="AH78" s="3" t="s">
        <v>357</v>
      </c>
      <c r="AI78" s="4">
        <v>683.952</v>
      </c>
    </row>
    <row r="79" spans="34:35" x14ac:dyDescent="0.3">
      <c r="AH79" s="3" t="s">
        <v>623</v>
      </c>
      <c r="AI79" s="4">
        <v>665.88</v>
      </c>
    </row>
    <row r="80" spans="34:35" x14ac:dyDescent="0.3">
      <c r="AH80" s="3" t="s">
        <v>534</v>
      </c>
      <c r="AI80" s="4">
        <v>659.9</v>
      </c>
    </row>
    <row r="81" spans="34:35" x14ac:dyDescent="0.3">
      <c r="AH81" s="3" t="s">
        <v>590</v>
      </c>
      <c r="AI81" s="4">
        <v>649.72399999999993</v>
      </c>
    </row>
    <row r="82" spans="34:35" x14ac:dyDescent="0.3">
      <c r="AH82" s="3" t="s">
        <v>198</v>
      </c>
      <c r="AI82" s="4">
        <v>647.84</v>
      </c>
    </row>
    <row r="83" spans="34:35" x14ac:dyDescent="0.3">
      <c r="AH83" s="3" t="s">
        <v>597</v>
      </c>
      <c r="AI83" s="4">
        <v>645.91800000000001</v>
      </c>
    </row>
    <row r="84" spans="34:35" x14ac:dyDescent="0.3">
      <c r="AH84" s="3" t="s">
        <v>395</v>
      </c>
      <c r="AI84" s="4">
        <v>644.07600000000002</v>
      </c>
    </row>
    <row r="85" spans="34:35" x14ac:dyDescent="0.3">
      <c r="AH85" s="3" t="s">
        <v>364</v>
      </c>
      <c r="AI85" s="4">
        <v>643.13599999999997</v>
      </c>
    </row>
    <row r="86" spans="34:35" x14ac:dyDescent="0.3">
      <c r="AH86" s="3" t="s">
        <v>420</v>
      </c>
      <c r="AI86" s="4">
        <v>631.96</v>
      </c>
    </row>
    <row r="87" spans="34:35" x14ac:dyDescent="0.3">
      <c r="AH87" s="3" t="s">
        <v>505</v>
      </c>
      <c r="AI87" s="4">
        <v>615.96</v>
      </c>
    </row>
    <row r="88" spans="34:35" x14ac:dyDescent="0.3">
      <c r="AH88" s="3" t="s">
        <v>208</v>
      </c>
      <c r="AI88" s="4">
        <v>614.08000000000004</v>
      </c>
    </row>
    <row r="89" spans="34:35" x14ac:dyDescent="0.3">
      <c r="AH89" s="3" t="s">
        <v>558</v>
      </c>
      <c r="AI89" s="4">
        <v>599.97</v>
      </c>
    </row>
    <row r="90" spans="34:35" x14ac:dyDescent="0.3">
      <c r="AH90" s="3" t="s">
        <v>224</v>
      </c>
      <c r="AI90" s="4">
        <v>599.16499999999996</v>
      </c>
    </row>
    <row r="91" spans="34:35" x14ac:dyDescent="0.3">
      <c r="AH91" s="3" t="s">
        <v>651</v>
      </c>
      <c r="AI91" s="4">
        <v>595</v>
      </c>
    </row>
    <row r="92" spans="34:35" x14ac:dyDescent="0.3">
      <c r="AH92" s="3" t="s">
        <v>320</v>
      </c>
      <c r="AI92" s="4">
        <v>560.96699999999998</v>
      </c>
    </row>
    <row r="93" spans="34:35" x14ac:dyDescent="0.3">
      <c r="AH93" s="3" t="s">
        <v>573</v>
      </c>
      <c r="AI93" s="4">
        <v>552.55999999999995</v>
      </c>
    </row>
    <row r="94" spans="34:35" x14ac:dyDescent="0.3">
      <c r="AH94" s="3" t="s">
        <v>373</v>
      </c>
      <c r="AI94" s="4">
        <v>539.97</v>
      </c>
    </row>
    <row r="95" spans="34:35" x14ac:dyDescent="0.3">
      <c r="AH95" s="3" t="s">
        <v>506</v>
      </c>
      <c r="AI95" s="4">
        <v>517.9</v>
      </c>
    </row>
    <row r="96" spans="34:35" x14ac:dyDescent="0.3">
      <c r="AH96" s="3" t="s">
        <v>377</v>
      </c>
      <c r="AI96" s="4">
        <v>517.5</v>
      </c>
    </row>
    <row r="97" spans="34:35" x14ac:dyDescent="0.3">
      <c r="AH97" s="3" t="s">
        <v>569</v>
      </c>
      <c r="AI97" s="4">
        <v>512.94000000000005</v>
      </c>
    </row>
    <row r="98" spans="34:35" x14ac:dyDescent="0.3">
      <c r="AH98" s="3" t="s">
        <v>375</v>
      </c>
      <c r="AI98" s="4">
        <v>508.70400000000006</v>
      </c>
    </row>
    <row r="99" spans="34:35" x14ac:dyDescent="0.3">
      <c r="AH99" s="3" t="s">
        <v>161</v>
      </c>
      <c r="AI99" s="4">
        <v>503.96</v>
      </c>
    </row>
    <row r="100" spans="34:35" x14ac:dyDescent="0.3">
      <c r="AH100" s="3" t="s">
        <v>384</v>
      </c>
      <c r="AI100" s="4">
        <v>486.64000000000004</v>
      </c>
    </row>
    <row r="101" spans="34:35" x14ac:dyDescent="0.3">
      <c r="AH101" s="3" t="s">
        <v>541</v>
      </c>
      <c r="AI101" s="4">
        <v>485.94</v>
      </c>
    </row>
    <row r="102" spans="34:35" x14ac:dyDescent="0.3">
      <c r="AH102" s="3" t="s">
        <v>435</v>
      </c>
      <c r="AI102" s="4">
        <v>482.34</v>
      </c>
    </row>
    <row r="103" spans="34:35" x14ac:dyDescent="0.3">
      <c r="AH103" s="3" t="s">
        <v>479</v>
      </c>
      <c r="AI103" s="4">
        <v>479.97</v>
      </c>
    </row>
    <row r="104" spans="34:35" x14ac:dyDescent="0.3">
      <c r="AH104" s="3" t="s">
        <v>374</v>
      </c>
      <c r="AI104" s="4">
        <v>459.95</v>
      </c>
    </row>
    <row r="105" spans="34:35" x14ac:dyDescent="0.3">
      <c r="AH105" s="3" t="s">
        <v>599</v>
      </c>
      <c r="AI105" s="4">
        <v>455.28</v>
      </c>
    </row>
    <row r="106" spans="34:35" x14ac:dyDescent="0.3">
      <c r="AH106" s="3" t="s">
        <v>533</v>
      </c>
      <c r="AI106" s="4">
        <v>454.35</v>
      </c>
    </row>
    <row r="107" spans="34:35" x14ac:dyDescent="0.3">
      <c r="AH107" s="3" t="s">
        <v>504</v>
      </c>
      <c r="AI107" s="4">
        <v>444.76799999999997</v>
      </c>
    </row>
    <row r="108" spans="34:35" x14ac:dyDescent="0.3">
      <c r="AH108" s="3" t="s">
        <v>513</v>
      </c>
      <c r="AI108" s="4">
        <v>434.64600000000002</v>
      </c>
    </row>
    <row r="109" spans="34:35" x14ac:dyDescent="0.3">
      <c r="AH109" s="3" t="s">
        <v>601</v>
      </c>
      <c r="AI109" s="4">
        <v>410.286</v>
      </c>
    </row>
    <row r="110" spans="34:35" x14ac:dyDescent="0.3">
      <c r="AH110" s="3" t="s">
        <v>371</v>
      </c>
      <c r="AI110" s="4">
        <v>407.96300000000002</v>
      </c>
    </row>
    <row r="111" spans="34:35" x14ac:dyDescent="0.3">
      <c r="AH111" s="3" t="s">
        <v>507</v>
      </c>
      <c r="AI111" s="4">
        <v>407.93999999999994</v>
      </c>
    </row>
    <row r="112" spans="34:35" x14ac:dyDescent="0.3">
      <c r="AH112" s="3" t="s">
        <v>192</v>
      </c>
      <c r="AI112" s="4">
        <v>400.86199999999997</v>
      </c>
    </row>
    <row r="113" spans="34:35" x14ac:dyDescent="0.3">
      <c r="AH113" s="3" t="s">
        <v>162</v>
      </c>
      <c r="AI113" s="4">
        <v>400.02679999999998</v>
      </c>
    </row>
    <row r="114" spans="34:35" x14ac:dyDescent="0.3">
      <c r="AH114" s="3" t="s">
        <v>204</v>
      </c>
      <c r="AI114" s="4">
        <v>393.16500000000002</v>
      </c>
    </row>
    <row r="115" spans="34:35" x14ac:dyDescent="0.3">
      <c r="AH115" s="3" t="s">
        <v>512</v>
      </c>
      <c r="AI115" s="4">
        <v>392.94</v>
      </c>
    </row>
    <row r="116" spans="34:35" x14ac:dyDescent="0.3">
      <c r="AH116" s="3" t="s">
        <v>587</v>
      </c>
      <c r="AI116" s="4">
        <v>388.70400000000001</v>
      </c>
    </row>
    <row r="117" spans="34:35" x14ac:dyDescent="0.3">
      <c r="AH117" s="3" t="s">
        <v>296</v>
      </c>
      <c r="AI117" s="4">
        <v>384.608</v>
      </c>
    </row>
    <row r="118" spans="34:35" x14ac:dyDescent="0.3">
      <c r="AH118" s="3" t="s">
        <v>391</v>
      </c>
      <c r="AI118" s="4">
        <v>375.45749999999998</v>
      </c>
    </row>
    <row r="119" spans="34:35" x14ac:dyDescent="0.3">
      <c r="AH119" s="3" t="s">
        <v>243</v>
      </c>
      <c r="AI119" s="4">
        <v>374.37599999999998</v>
      </c>
    </row>
    <row r="120" spans="34:35" x14ac:dyDescent="0.3">
      <c r="AH120" s="3" t="s">
        <v>429</v>
      </c>
      <c r="AI120" s="4">
        <v>369.91199999999998</v>
      </c>
    </row>
    <row r="121" spans="34:35" x14ac:dyDescent="0.3">
      <c r="AH121" s="3" t="s">
        <v>410</v>
      </c>
      <c r="AI121" s="4">
        <v>366.786</v>
      </c>
    </row>
    <row r="122" spans="34:35" x14ac:dyDescent="0.3">
      <c r="AH122" s="3" t="s">
        <v>195</v>
      </c>
      <c r="AI122" s="4">
        <v>362.94</v>
      </c>
    </row>
    <row r="123" spans="34:35" x14ac:dyDescent="0.3">
      <c r="AH123" s="3" t="s">
        <v>509</v>
      </c>
      <c r="AI123" s="4">
        <v>354.90000000000003</v>
      </c>
    </row>
    <row r="124" spans="34:35" x14ac:dyDescent="0.3">
      <c r="AH124" s="3" t="s">
        <v>514</v>
      </c>
      <c r="AI124" s="4">
        <v>350.98</v>
      </c>
    </row>
    <row r="125" spans="34:35" x14ac:dyDescent="0.3">
      <c r="AH125" s="3" t="s">
        <v>438</v>
      </c>
      <c r="AI125" s="4">
        <v>348.928</v>
      </c>
    </row>
    <row r="126" spans="34:35" x14ac:dyDescent="0.3">
      <c r="AH126" s="3" t="s">
        <v>318</v>
      </c>
      <c r="AI126" s="4">
        <v>348.20800000000003</v>
      </c>
    </row>
    <row r="127" spans="34:35" x14ac:dyDescent="0.3">
      <c r="AH127" s="3" t="s">
        <v>412</v>
      </c>
      <c r="AI127" s="4">
        <v>344.55200000000002</v>
      </c>
    </row>
    <row r="128" spans="34:35" x14ac:dyDescent="0.3">
      <c r="AH128" s="3" t="s">
        <v>449</v>
      </c>
      <c r="AI128" s="4">
        <v>339.96</v>
      </c>
    </row>
    <row r="129" spans="34:35" x14ac:dyDescent="0.3">
      <c r="AH129" s="3" t="s">
        <v>408</v>
      </c>
      <c r="AI129" s="4">
        <v>335.36</v>
      </c>
    </row>
    <row r="130" spans="34:35" x14ac:dyDescent="0.3">
      <c r="AH130" s="3" t="s">
        <v>345</v>
      </c>
      <c r="AI130" s="4">
        <v>334.76799999999997</v>
      </c>
    </row>
    <row r="131" spans="34:35" x14ac:dyDescent="0.3">
      <c r="AH131" s="3" t="s">
        <v>411</v>
      </c>
      <c r="AI131" s="4">
        <v>332.48</v>
      </c>
    </row>
    <row r="132" spans="34:35" x14ac:dyDescent="0.3">
      <c r="AH132" s="3" t="s">
        <v>278</v>
      </c>
      <c r="AI132" s="4">
        <v>330.4</v>
      </c>
    </row>
    <row r="133" spans="34:35" x14ac:dyDescent="0.3">
      <c r="AH133" s="3" t="s">
        <v>695</v>
      </c>
      <c r="AI133" s="4">
        <v>329.76</v>
      </c>
    </row>
    <row r="134" spans="34:35" x14ac:dyDescent="0.3">
      <c r="AH134" s="3" t="s">
        <v>240</v>
      </c>
      <c r="AI134" s="4">
        <v>328.22399999999999</v>
      </c>
    </row>
    <row r="135" spans="34:35" x14ac:dyDescent="0.3">
      <c r="AH135" s="3" t="s">
        <v>477</v>
      </c>
      <c r="AI135" s="4">
        <v>325.86</v>
      </c>
    </row>
    <row r="136" spans="34:35" x14ac:dyDescent="0.3">
      <c r="AH136" s="3" t="s">
        <v>446</v>
      </c>
      <c r="AI136" s="4">
        <v>319.95999999999998</v>
      </c>
    </row>
    <row r="137" spans="34:35" x14ac:dyDescent="0.3">
      <c r="AH137" s="3" t="s">
        <v>372</v>
      </c>
      <c r="AI137" s="4">
        <v>318.43</v>
      </c>
    </row>
    <row r="138" spans="34:35" x14ac:dyDescent="0.3">
      <c r="AH138" s="3" t="s">
        <v>476</v>
      </c>
      <c r="AI138" s="4">
        <v>314.55</v>
      </c>
    </row>
    <row r="139" spans="34:35" x14ac:dyDescent="0.3">
      <c r="AH139" s="3" t="s">
        <v>300</v>
      </c>
      <c r="AI139" s="4">
        <v>310.88</v>
      </c>
    </row>
    <row r="140" spans="34:35" x14ac:dyDescent="0.3">
      <c r="AH140" s="3" t="s">
        <v>324</v>
      </c>
      <c r="AI140" s="4">
        <v>305.25</v>
      </c>
    </row>
    <row r="141" spans="34:35" x14ac:dyDescent="0.3">
      <c r="AH141" s="3" t="s">
        <v>365</v>
      </c>
      <c r="AI141" s="4">
        <v>302.94000000000005</v>
      </c>
    </row>
    <row r="142" spans="34:35" x14ac:dyDescent="0.3">
      <c r="AH142" s="3" t="s">
        <v>366</v>
      </c>
      <c r="AI142" s="4">
        <v>301.95999999999998</v>
      </c>
    </row>
    <row r="143" spans="34:35" x14ac:dyDescent="0.3">
      <c r="AH143" s="3" t="s">
        <v>399</v>
      </c>
      <c r="AI143" s="4">
        <v>300.416</v>
      </c>
    </row>
    <row r="144" spans="34:35" x14ac:dyDescent="0.3">
      <c r="AH144" s="3" t="s">
        <v>219</v>
      </c>
      <c r="AI144" s="4">
        <v>297.40800000000002</v>
      </c>
    </row>
    <row r="145" spans="34:35" x14ac:dyDescent="0.3">
      <c r="AH145" s="3" t="s">
        <v>106</v>
      </c>
      <c r="AI145" s="4">
        <v>294.62</v>
      </c>
    </row>
    <row r="146" spans="34:35" x14ac:dyDescent="0.3">
      <c r="AH146" s="3" t="s">
        <v>112</v>
      </c>
      <c r="AI146" s="4">
        <v>290.89800000000002</v>
      </c>
    </row>
    <row r="147" spans="34:35" x14ac:dyDescent="0.3">
      <c r="AH147" s="3" t="s">
        <v>589</v>
      </c>
      <c r="AI147" s="4">
        <v>290.666</v>
      </c>
    </row>
    <row r="148" spans="34:35" x14ac:dyDescent="0.3">
      <c r="AH148" s="3" t="s">
        <v>644</v>
      </c>
      <c r="AI148" s="4">
        <v>287.52</v>
      </c>
    </row>
    <row r="149" spans="34:35" x14ac:dyDescent="0.3">
      <c r="AH149" s="3" t="s">
        <v>236</v>
      </c>
      <c r="AI149" s="4">
        <v>284.36399999999998</v>
      </c>
    </row>
    <row r="150" spans="34:35" x14ac:dyDescent="0.3">
      <c r="AH150" s="3" t="s">
        <v>214</v>
      </c>
      <c r="AI150" s="4">
        <v>281.33999999999997</v>
      </c>
    </row>
    <row r="151" spans="34:35" x14ac:dyDescent="0.3">
      <c r="AH151" s="3" t="s">
        <v>363</v>
      </c>
      <c r="AI151" s="4">
        <v>280.79199999999997</v>
      </c>
    </row>
    <row r="152" spans="34:35" x14ac:dyDescent="0.3">
      <c r="AH152" s="3" t="s">
        <v>685</v>
      </c>
      <c r="AI152" s="4">
        <v>279.89999999999998</v>
      </c>
    </row>
    <row r="153" spans="34:35" x14ac:dyDescent="0.3">
      <c r="AH153" s="3" t="s">
        <v>440</v>
      </c>
      <c r="AI153" s="4">
        <v>269.90999999999997</v>
      </c>
    </row>
    <row r="154" spans="34:35" x14ac:dyDescent="0.3">
      <c r="AH154" s="3" t="s">
        <v>207</v>
      </c>
      <c r="AI154" s="4">
        <v>268.935</v>
      </c>
    </row>
    <row r="155" spans="34:35" x14ac:dyDescent="0.3">
      <c r="AH155" s="3" t="s">
        <v>197</v>
      </c>
      <c r="AI155" s="4">
        <v>263.91199999999998</v>
      </c>
    </row>
    <row r="156" spans="34:35" x14ac:dyDescent="0.3">
      <c r="AH156" s="3" t="s">
        <v>225</v>
      </c>
      <c r="AI156" s="4">
        <v>261.95999999999998</v>
      </c>
    </row>
    <row r="157" spans="34:35" x14ac:dyDescent="0.3">
      <c r="AH157" s="3" t="s">
        <v>414</v>
      </c>
      <c r="AI157" s="4">
        <v>259.63400000000001</v>
      </c>
    </row>
    <row r="158" spans="34:35" x14ac:dyDescent="0.3">
      <c r="AH158" s="3" t="s">
        <v>511</v>
      </c>
      <c r="AI158" s="4">
        <v>259.13600000000002</v>
      </c>
    </row>
    <row r="159" spans="34:35" x14ac:dyDescent="0.3">
      <c r="AH159" s="3" t="s">
        <v>535</v>
      </c>
      <c r="AI159" s="4">
        <v>258.69600000000003</v>
      </c>
    </row>
    <row r="160" spans="34:35" x14ac:dyDescent="0.3">
      <c r="AH160" s="3" t="s">
        <v>113</v>
      </c>
      <c r="AI160" s="4">
        <v>258.52800000000002</v>
      </c>
    </row>
    <row r="161" spans="34:35" x14ac:dyDescent="0.3">
      <c r="AH161" s="3" t="s">
        <v>361</v>
      </c>
      <c r="AI161" s="4">
        <v>258.279</v>
      </c>
    </row>
    <row r="162" spans="34:35" x14ac:dyDescent="0.3">
      <c r="AH162" s="3" t="s">
        <v>285</v>
      </c>
      <c r="AI162" s="4">
        <v>254.744</v>
      </c>
    </row>
    <row r="163" spans="34:35" x14ac:dyDescent="0.3">
      <c r="AH163" s="3" t="s">
        <v>351</v>
      </c>
      <c r="AI163" s="4">
        <v>254.05799999999999</v>
      </c>
    </row>
    <row r="164" spans="34:35" x14ac:dyDescent="0.3">
      <c r="AH164" s="3" t="s">
        <v>528</v>
      </c>
      <c r="AI164" s="4">
        <v>252.56</v>
      </c>
    </row>
    <row r="165" spans="34:35" x14ac:dyDescent="0.3">
      <c r="AH165" s="3" t="s">
        <v>632</v>
      </c>
      <c r="AI165" s="4">
        <v>243.38399999999999</v>
      </c>
    </row>
    <row r="166" spans="34:35" x14ac:dyDescent="0.3">
      <c r="AH166" s="3" t="s">
        <v>234</v>
      </c>
      <c r="AI166" s="4">
        <v>242.94</v>
      </c>
    </row>
    <row r="167" spans="34:35" x14ac:dyDescent="0.3">
      <c r="AH167" s="3" t="s">
        <v>557</v>
      </c>
      <c r="AI167" s="4">
        <v>239.97</v>
      </c>
    </row>
    <row r="168" spans="34:35" x14ac:dyDescent="0.3">
      <c r="AH168" s="3" t="s">
        <v>445</v>
      </c>
      <c r="AI168" s="4">
        <v>239.97</v>
      </c>
    </row>
    <row r="169" spans="34:35" x14ac:dyDescent="0.3">
      <c r="AH169" s="3" t="s">
        <v>447</v>
      </c>
      <c r="AI169" s="4">
        <v>238.89599999999999</v>
      </c>
    </row>
    <row r="170" spans="34:35" x14ac:dyDescent="0.3">
      <c r="AH170" s="3" t="s">
        <v>265</v>
      </c>
      <c r="AI170" s="4">
        <v>233.44</v>
      </c>
    </row>
    <row r="171" spans="34:35" x14ac:dyDescent="0.3">
      <c r="AH171" s="3" t="s">
        <v>515</v>
      </c>
      <c r="AI171" s="4">
        <v>233.05799999999999</v>
      </c>
    </row>
    <row r="172" spans="34:35" x14ac:dyDescent="0.3">
      <c r="AH172" s="3" t="s">
        <v>242</v>
      </c>
      <c r="AI172" s="4">
        <v>219.8</v>
      </c>
    </row>
    <row r="173" spans="34:35" x14ac:dyDescent="0.3">
      <c r="AH173" s="3" t="s">
        <v>220</v>
      </c>
      <c r="AI173" s="4">
        <v>218.75</v>
      </c>
    </row>
    <row r="174" spans="34:35" x14ac:dyDescent="0.3">
      <c r="AH174" s="3" t="s">
        <v>307</v>
      </c>
      <c r="AI174" s="4">
        <v>209.3</v>
      </c>
    </row>
    <row r="175" spans="34:35" x14ac:dyDescent="0.3">
      <c r="AH175" s="3" t="s">
        <v>432</v>
      </c>
      <c r="AI175" s="4">
        <v>209.25400000000002</v>
      </c>
    </row>
    <row r="176" spans="34:35" x14ac:dyDescent="0.3">
      <c r="AH176" s="3" t="s">
        <v>638</v>
      </c>
      <c r="AI176" s="4">
        <v>209.13600000000002</v>
      </c>
    </row>
    <row r="177" spans="34:35" x14ac:dyDescent="0.3">
      <c r="AH177" s="3" t="s">
        <v>102</v>
      </c>
      <c r="AI177" s="4">
        <v>208.16</v>
      </c>
    </row>
    <row r="178" spans="34:35" x14ac:dyDescent="0.3">
      <c r="AH178" s="3" t="s">
        <v>426</v>
      </c>
      <c r="AI178" s="4">
        <v>207.48</v>
      </c>
    </row>
    <row r="179" spans="34:35" x14ac:dyDescent="0.3">
      <c r="AH179" s="3" t="s">
        <v>274</v>
      </c>
      <c r="AI179" s="4">
        <v>206.19200000000001</v>
      </c>
    </row>
    <row r="180" spans="34:35" x14ac:dyDescent="0.3">
      <c r="AH180" s="3" t="s">
        <v>400</v>
      </c>
      <c r="AI180" s="4">
        <v>206.11199999999999</v>
      </c>
    </row>
    <row r="181" spans="34:35" x14ac:dyDescent="0.3">
      <c r="AH181" s="3" t="s">
        <v>452</v>
      </c>
      <c r="AI181" s="4">
        <v>204.6</v>
      </c>
    </row>
    <row r="182" spans="34:35" x14ac:dyDescent="0.3">
      <c r="AH182" s="3" t="s">
        <v>403</v>
      </c>
      <c r="AI182" s="4">
        <v>201.584</v>
      </c>
    </row>
    <row r="183" spans="34:35" x14ac:dyDescent="0.3">
      <c r="AH183" s="3" t="s">
        <v>554</v>
      </c>
      <c r="AI183" s="4">
        <v>201.56800000000001</v>
      </c>
    </row>
    <row r="184" spans="34:35" x14ac:dyDescent="0.3">
      <c r="AH184" s="3" t="s">
        <v>422</v>
      </c>
      <c r="AI184" s="4">
        <v>200.98400000000001</v>
      </c>
    </row>
    <row r="185" spans="34:35" x14ac:dyDescent="0.3">
      <c r="AH185" s="3" t="s">
        <v>582</v>
      </c>
      <c r="AI185" s="4">
        <v>199.95</v>
      </c>
    </row>
    <row r="186" spans="34:35" x14ac:dyDescent="0.3">
      <c r="AH186" s="3" t="s">
        <v>354</v>
      </c>
      <c r="AI186" s="4">
        <v>198.46</v>
      </c>
    </row>
    <row r="187" spans="34:35" x14ac:dyDescent="0.3">
      <c r="AH187" s="3" t="s">
        <v>273</v>
      </c>
      <c r="AI187" s="4">
        <v>196.62</v>
      </c>
    </row>
    <row r="188" spans="34:35" x14ac:dyDescent="0.3">
      <c r="AH188" s="3" t="s">
        <v>519</v>
      </c>
      <c r="AI188" s="4">
        <v>194.32</v>
      </c>
    </row>
    <row r="189" spans="34:35" x14ac:dyDescent="0.3">
      <c r="AH189" s="3" t="s">
        <v>522</v>
      </c>
      <c r="AI189" s="4">
        <v>194.292</v>
      </c>
    </row>
    <row r="190" spans="34:35" x14ac:dyDescent="0.3">
      <c r="AH190" s="3" t="s">
        <v>359</v>
      </c>
      <c r="AI190" s="4">
        <v>193.72399999999999</v>
      </c>
    </row>
    <row r="191" spans="34:35" x14ac:dyDescent="0.3">
      <c r="AH191" s="3" t="s">
        <v>574</v>
      </c>
      <c r="AI191" s="4">
        <v>190.72</v>
      </c>
    </row>
    <row r="192" spans="34:35" x14ac:dyDescent="0.3">
      <c r="AH192" s="3" t="s">
        <v>343</v>
      </c>
      <c r="AI192" s="4">
        <v>189.58799999999999</v>
      </c>
    </row>
    <row r="193" spans="34:35" x14ac:dyDescent="0.3">
      <c r="AH193" s="3" t="s">
        <v>703</v>
      </c>
      <c r="AI193" s="4">
        <v>182.72</v>
      </c>
    </row>
    <row r="194" spans="34:35" x14ac:dyDescent="0.3">
      <c r="AH194" s="3" t="s">
        <v>159</v>
      </c>
      <c r="AI194" s="4">
        <v>178.38399999999999</v>
      </c>
    </row>
    <row r="195" spans="34:35" x14ac:dyDescent="0.3">
      <c r="AH195" s="3" t="s">
        <v>581</v>
      </c>
      <c r="AI195" s="4">
        <v>176.8</v>
      </c>
    </row>
    <row r="196" spans="34:35" x14ac:dyDescent="0.3">
      <c r="AH196" s="3" t="s">
        <v>123</v>
      </c>
      <c r="AI196" s="4">
        <v>176.04</v>
      </c>
    </row>
    <row r="197" spans="34:35" x14ac:dyDescent="0.3">
      <c r="AH197" s="3" t="s">
        <v>434</v>
      </c>
      <c r="AI197" s="4">
        <v>171.28800000000001</v>
      </c>
    </row>
    <row r="198" spans="34:35" x14ac:dyDescent="0.3">
      <c r="AH198" s="3" t="s">
        <v>520</v>
      </c>
      <c r="AI198" s="4">
        <v>170.05799999999999</v>
      </c>
    </row>
    <row r="199" spans="34:35" x14ac:dyDescent="0.3">
      <c r="AH199" s="3" t="s">
        <v>430</v>
      </c>
      <c r="AI199" s="4">
        <v>169.66</v>
      </c>
    </row>
    <row r="200" spans="34:35" x14ac:dyDescent="0.3">
      <c r="AH200" s="3" t="s">
        <v>680</v>
      </c>
      <c r="AI200" s="4">
        <v>166.44</v>
      </c>
    </row>
    <row r="201" spans="34:35" x14ac:dyDescent="0.3">
      <c r="AH201" s="3" t="s">
        <v>689</v>
      </c>
      <c r="AI201" s="4">
        <v>166.44</v>
      </c>
    </row>
    <row r="202" spans="34:35" x14ac:dyDescent="0.3">
      <c r="AH202" s="3" t="s">
        <v>165</v>
      </c>
      <c r="AI202" s="4">
        <v>161.56800000000001</v>
      </c>
    </row>
    <row r="203" spans="34:35" x14ac:dyDescent="0.3">
      <c r="AH203" s="3" t="s">
        <v>194</v>
      </c>
      <c r="AI203" s="4">
        <v>161.28</v>
      </c>
    </row>
    <row r="204" spans="34:35" x14ac:dyDescent="0.3">
      <c r="AH204" s="3" t="s">
        <v>559</v>
      </c>
      <c r="AI204" s="4">
        <v>160.77600000000001</v>
      </c>
    </row>
    <row r="205" spans="34:35" x14ac:dyDescent="0.3">
      <c r="AH205" s="3" t="s">
        <v>448</v>
      </c>
      <c r="AI205" s="4">
        <v>159.98400000000001</v>
      </c>
    </row>
    <row r="206" spans="34:35" x14ac:dyDescent="0.3">
      <c r="AH206" s="3" t="s">
        <v>728</v>
      </c>
      <c r="AI206" s="4">
        <v>159.88</v>
      </c>
    </row>
    <row r="207" spans="34:35" x14ac:dyDescent="0.3">
      <c r="AH207" s="3" t="s">
        <v>196</v>
      </c>
      <c r="AI207" s="4">
        <v>157.91999999999999</v>
      </c>
    </row>
    <row r="208" spans="34:35" x14ac:dyDescent="0.3">
      <c r="AH208" s="3" t="s">
        <v>696</v>
      </c>
      <c r="AI208" s="4">
        <v>156.512</v>
      </c>
    </row>
    <row r="209" spans="34:35" x14ac:dyDescent="0.3">
      <c r="AH209" s="3" t="s">
        <v>647</v>
      </c>
      <c r="AI209" s="4">
        <v>156.33199999999999</v>
      </c>
    </row>
    <row r="210" spans="34:35" x14ac:dyDescent="0.3">
      <c r="AH210" s="3" t="s">
        <v>327</v>
      </c>
      <c r="AI210" s="4">
        <v>155.82</v>
      </c>
    </row>
    <row r="211" spans="34:35" x14ac:dyDescent="0.3">
      <c r="AH211" s="3" t="s">
        <v>306</v>
      </c>
      <c r="AI211" s="4">
        <v>152.94</v>
      </c>
    </row>
    <row r="212" spans="34:35" x14ac:dyDescent="0.3">
      <c r="AH212" s="3" t="s">
        <v>286</v>
      </c>
      <c r="AI212" s="4">
        <v>151.72</v>
      </c>
    </row>
    <row r="213" spans="34:35" x14ac:dyDescent="0.3">
      <c r="AH213" s="3" t="s">
        <v>266</v>
      </c>
      <c r="AI213" s="4">
        <v>151.27199999999999</v>
      </c>
    </row>
    <row r="214" spans="34:35" x14ac:dyDescent="0.3">
      <c r="AH214" s="3" t="s">
        <v>226</v>
      </c>
      <c r="AI214" s="4">
        <v>149.352</v>
      </c>
    </row>
    <row r="215" spans="34:35" x14ac:dyDescent="0.3">
      <c r="AH215" s="3" t="s">
        <v>524</v>
      </c>
      <c r="AI215" s="4">
        <v>147.16800000000001</v>
      </c>
    </row>
    <row r="216" spans="34:35" x14ac:dyDescent="0.3">
      <c r="AH216" s="3" t="s">
        <v>636</v>
      </c>
      <c r="AI216" s="4">
        <v>146.82</v>
      </c>
    </row>
    <row r="217" spans="34:35" x14ac:dyDescent="0.3">
      <c r="AH217" s="3" t="s">
        <v>205</v>
      </c>
      <c r="AI217" s="4">
        <v>145.97999999999999</v>
      </c>
    </row>
    <row r="218" spans="34:35" x14ac:dyDescent="0.3">
      <c r="AH218" s="3" t="s">
        <v>473</v>
      </c>
      <c r="AI218" s="4">
        <v>143.982</v>
      </c>
    </row>
    <row r="219" spans="34:35" x14ac:dyDescent="0.3">
      <c r="AH219" s="3" t="s">
        <v>424</v>
      </c>
      <c r="AI219" s="4">
        <v>143.36000000000001</v>
      </c>
    </row>
    <row r="220" spans="34:35" x14ac:dyDescent="0.3">
      <c r="AH220" s="3" t="s">
        <v>687</v>
      </c>
      <c r="AI220" s="4">
        <v>139.86000000000001</v>
      </c>
    </row>
    <row r="221" spans="34:35" x14ac:dyDescent="0.3">
      <c r="AH221" s="3" t="s">
        <v>111</v>
      </c>
      <c r="AI221" s="4">
        <v>137.9</v>
      </c>
    </row>
    <row r="222" spans="34:35" x14ac:dyDescent="0.3">
      <c r="AH222" s="3" t="s">
        <v>272</v>
      </c>
      <c r="AI222" s="4">
        <v>135.88200000000001</v>
      </c>
    </row>
    <row r="223" spans="34:35" x14ac:dyDescent="0.3">
      <c r="AH223" s="3" t="s">
        <v>417</v>
      </c>
      <c r="AI223" s="4">
        <v>134.97</v>
      </c>
    </row>
    <row r="224" spans="34:35" x14ac:dyDescent="0.3">
      <c r="AH224" s="3" t="s">
        <v>146</v>
      </c>
      <c r="AI224" s="4">
        <v>133.19999999999999</v>
      </c>
    </row>
    <row r="225" spans="34:35" x14ac:dyDescent="0.3">
      <c r="AH225" s="3" t="s">
        <v>529</v>
      </c>
      <c r="AI225" s="4">
        <v>130.28399999999999</v>
      </c>
    </row>
    <row r="226" spans="34:35" x14ac:dyDescent="0.3">
      <c r="AH226" s="3" t="s">
        <v>536</v>
      </c>
      <c r="AI226" s="4">
        <v>129.97999999999999</v>
      </c>
    </row>
    <row r="227" spans="34:35" x14ac:dyDescent="0.3">
      <c r="AH227" s="3" t="s">
        <v>594</v>
      </c>
      <c r="AI227" s="4">
        <v>129.91999999999999</v>
      </c>
    </row>
    <row r="228" spans="34:35" x14ac:dyDescent="0.3">
      <c r="AH228" s="3" t="s">
        <v>486</v>
      </c>
      <c r="AI228" s="4">
        <v>127.05</v>
      </c>
    </row>
    <row r="229" spans="34:35" x14ac:dyDescent="0.3">
      <c r="AH229" s="3" t="s">
        <v>312</v>
      </c>
      <c r="AI229" s="4">
        <v>126.3</v>
      </c>
    </row>
    <row r="230" spans="34:35" x14ac:dyDescent="0.3">
      <c r="AH230" s="3" t="s">
        <v>465</v>
      </c>
      <c r="AI230" s="4">
        <v>124.25</v>
      </c>
    </row>
    <row r="231" spans="34:35" x14ac:dyDescent="0.3">
      <c r="AH231" s="3" t="s">
        <v>215</v>
      </c>
      <c r="AI231" s="4">
        <v>123.256</v>
      </c>
    </row>
    <row r="232" spans="34:35" x14ac:dyDescent="0.3">
      <c r="AH232" s="3" t="s">
        <v>310</v>
      </c>
      <c r="AI232" s="4">
        <v>123.072</v>
      </c>
    </row>
    <row r="233" spans="34:35" x14ac:dyDescent="0.3">
      <c r="AH233" s="3" t="s">
        <v>470</v>
      </c>
      <c r="AI233" s="4">
        <v>120.43199999999999</v>
      </c>
    </row>
    <row r="234" spans="34:35" x14ac:dyDescent="0.3">
      <c r="AH234" s="3" t="s">
        <v>553</v>
      </c>
      <c r="AI234" s="4">
        <v>119.94</v>
      </c>
    </row>
    <row r="235" spans="34:35" x14ac:dyDescent="0.3">
      <c r="AH235" s="3" t="s">
        <v>462</v>
      </c>
      <c r="AI235" s="4">
        <v>115.36</v>
      </c>
    </row>
    <row r="236" spans="34:35" x14ac:dyDescent="0.3">
      <c r="AH236" s="3" t="s">
        <v>475</v>
      </c>
      <c r="AI236" s="4">
        <v>114.95</v>
      </c>
    </row>
    <row r="237" spans="34:35" x14ac:dyDescent="0.3">
      <c r="AH237" s="3" t="s">
        <v>640</v>
      </c>
      <c r="AI237" s="4">
        <v>113.55200000000001</v>
      </c>
    </row>
    <row r="238" spans="34:35" x14ac:dyDescent="0.3">
      <c r="AH238" s="3" t="s">
        <v>101</v>
      </c>
      <c r="AI238" s="4">
        <v>113.328</v>
      </c>
    </row>
    <row r="239" spans="34:35" x14ac:dyDescent="0.3">
      <c r="AH239" s="3" t="s">
        <v>694</v>
      </c>
      <c r="AI239" s="4">
        <v>111.96</v>
      </c>
    </row>
    <row r="240" spans="34:35" x14ac:dyDescent="0.3">
      <c r="AH240" s="3" t="s">
        <v>103</v>
      </c>
      <c r="AI240" s="4">
        <v>111.88800000000001</v>
      </c>
    </row>
    <row r="241" spans="34:35" x14ac:dyDescent="0.3">
      <c r="AH241" s="3" t="s">
        <v>469</v>
      </c>
      <c r="AI241" s="4">
        <v>111.79</v>
      </c>
    </row>
    <row r="242" spans="34:35" x14ac:dyDescent="0.3">
      <c r="AH242" s="3" t="s">
        <v>290</v>
      </c>
      <c r="AI242" s="4">
        <v>111.68</v>
      </c>
    </row>
    <row r="243" spans="34:35" x14ac:dyDescent="0.3">
      <c r="AH243" s="3" t="s">
        <v>630</v>
      </c>
      <c r="AI243" s="4">
        <v>111.672</v>
      </c>
    </row>
    <row r="244" spans="34:35" x14ac:dyDescent="0.3">
      <c r="AH244" s="3" t="s">
        <v>275</v>
      </c>
      <c r="AI244" s="4">
        <v>110.96</v>
      </c>
    </row>
    <row r="245" spans="34:35" x14ac:dyDescent="0.3">
      <c r="AH245" s="3" t="s">
        <v>421</v>
      </c>
      <c r="AI245" s="4">
        <v>107.982</v>
      </c>
    </row>
    <row r="246" spans="34:35" x14ac:dyDescent="0.3">
      <c r="AH246" s="3" t="s">
        <v>153</v>
      </c>
      <c r="AI246" s="4">
        <v>107.946</v>
      </c>
    </row>
    <row r="247" spans="34:35" x14ac:dyDescent="0.3">
      <c r="AH247" s="3" t="s">
        <v>442</v>
      </c>
      <c r="AI247" s="4">
        <v>105.44399999999999</v>
      </c>
    </row>
    <row r="248" spans="34:35" x14ac:dyDescent="0.3">
      <c r="AH248" s="3" t="s">
        <v>622</v>
      </c>
      <c r="AI248" s="4">
        <v>105.42</v>
      </c>
    </row>
    <row r="249" spans="34:35" x14ac:dyDescent="0.3">
      <c r="AH249" s="3" t="s">
        <v>453</v>
      </c>
      <c r="AI249" s="4">
        <v>104.01</v>
      </c>
    </row>
    <row r="250" spans="34:35" x14ac:dyDescent="0.3">
      <c r="AH250" s="3" t="s">
        <v>457</v>
      </c>
      <c r="AI250" s="4">
        <v>103.04</v>
      </c>
    </row>
    <row r="251" spans="34:35" x14ac:dyDescent="0.3">
      <c r="AH251" s="3" t="s">
        <v>576</v>
      </c>
      <c r="AI251" s="4">
        <v>102.592</v>
      </c>
    </row>
    <row r="252" spans="34:35" x14ac:dyDescent="0.3">
      <c r="AH252" s="3" t="s">
        <v>349</v>
      </c>
      <c r="AI252" s="4">
        <v>99.84</v>
      </c>
    </row>
    <row r="253" spans="34:35" x14ac:dyDescent="0.3">
      <c r="AH253" s="3" t="s">
        <v>493</v>
      </c>
      <c r="AI253" s="4">
        <v>99.2</v>
      </c>
    </row>
    <row r="254" spans="34:35" x14ac:dyDescent="0.3">
      <c r="AH254" s="3" t="s">
        <v>702</v>
      </c>
      <c r="AI254" s="4">
        <v>99.135999999999996</v>
      </c>
    </row>
    <row r="255" spans="34:35" x14ac:dyDescent="0.3">
      <c r="AH255" s="3" t="s">
        <v>213</v>
      </c>
      <c r="AI255" s="4">
        <v>98.111999999999995</v>
      </c>
    </row>
    <row r="256" spans="34:35" x14ac:dyDescent="0.3">
      <c r="AH256" s="3" t="s">
        <v>508</v>
      </c>
      <c r="AI256" s="4">
        <v>97.567999999999998</v>
      </c>
    </row>
    <row r="257" spans="34:35" x14ac:dyDescent="0.3">
      <c r="AH257" s="3" t="s">
        <v>118</v>
      </c>
      <c r="AI257" s="4">
        <v>97.263999999999996</v>
      </c>
    </row>
    <row r="258" spans="34:35" x14ac:dyDescent="0.3">
      <c r="AH258" s="3" t="s">
        <v>201</v>
      </c>
      <c r="AI258" s="4">
        <v>97.16</v>
      </c>
    </row>
    <row r="259" spans="34:35" x14ac:dyDescent="0.3">
      <c r="AH259" s="3" t="s">
        <v>222</v>
      </c>
      <c r="AI259" s="4">
        <v>95.92</v>
      </c>
    </row>
    <row r="260" spans="34:35" x14ac:dyDescent="0.3">
      <c r="AH260" s="3" t="s">
        <v>419</v>
      </c>
      <c r="AI260" s="4">
        <v>95.84</v>
      </c>
    </row>
    <row r="261" spans="34:35" x14ac:dyDescent="0.3">
      <c r="AH261" s="3" t="s">
        <v>139</v>
      </c>
      <c r="AI261" s="4">
        <v>95.616</v>
      </c>
    </row>
    <row r="262" spans="34:35" x14ac:dyDescent="0.3">
      <c r="AH262" s="3" t="s">
        <v>602</v>
      </c>
      <c r="AI262" s="4">
        <v>93.98</v>
      </c>
    </row>
    <row r="263" spans="34:35" x14ac:dyDescent="0.3">
      <c r="AH263" s="3" t="s">
        <v>593</v>
      </c>
      <c r="AI263" s="4">
        <v>93.888000000000005</v>
      </c>
    </row>
    <row r="264" spans="34:35" x14ac:dyDescent="0.3">
      <c r="AH264" s="3" t="s">
        <v>368</v>
      </c>
      <c r="AI264" s="4">
        <v>93.527999999999992</v>
      </c>
    </row>
    <row r="265" spans="34:35" x14ac:dyDescent="0.3">
      <c r="AH265" s="3" t="s">
        <v>166</v>
      </c>
      <c r="AI265" s="4">
        <v>93.15</v>
      </c>
    </row>
    <row r="266" spans="34:35" x14ac:dyDescent="0.3">
      <c r="AH266" s="3" t="s">
        <v>657</v>
      </c>
      <c r="AI266" s="4">
        <v>93.024000000000001</v>
      </c>
    </row>
    <row r="267" spans="34:35" x14ac:dyDescent="0.3">
      <c r="AH267" s="3" t="s">
        <v>709</v>
      </c>
      <c r="AI267" s="4">
        <v>91.36</v>
      </c>
    </row>
    <row r="268" spans="34:35" x14ac:dyDescent="0.3">
      <c r="AH268" s="3" t="s">
        <v>409</v>
      </c>
      <c r="AI268" s="4">
        <v>91.2</v>
      </c>
    </row>
    <row r="269" spans="34:35" x14ac:dyDescent="0.3">
      <c r="AH269" s="3" t="s">
        <v>596</v>
      </c>
      <c r="AI269" s="4">
        <v>90.8</v>
      </c>
    </row>
    <row r="270" spans="34:35" x14ac:dyDescent="0.3">
      <c r="AH270" s="3" t="s">
        <v>350</v>
      </c>
      <c r="AI270" s="4">
        <v>88.751999999999995</v>
      </c>
    </row>
    <row r="271" spans="34:35" x14ac:dyDescent="0.3">
      <c r="AH271" s="3" t="s">
        <v>548</v>
      </c>
      <c r="AI271" s="4">
        <v>88.275999999999996</v>
      </c>
    </row>
    <row r="272" spans="34:35" x14ac:dyDescent="0.3">
      <c r="AH272" s="3" t="s">
        <v>521</v>
      </c>
      <c r="AI272" s="4">
        <v>87.92</v>
      </c>
    </row>
    <row r="273" spans="34:35" x14ac:dyDescent="0.3">
      <c r="AH273" s="3" t="s">
        <v>678</v>
      </c>
      <c r="AI273" s="4">
        <v>87.912000000000006</v>
      </c>
    </row>
    <row r="274" spans="34:35" x14ac:dyDescent="0.3">
      <c r="AH274" s="3" t="s">
        <v>531</v>
      </c>
      <c r="AI274" s="4">
        <v>86.272000000000006</v>
      </c>
    </row>
    <row r="275" spans="34:35" x14ac:dyDescent="0.3">
      <c r="AH275" s="3" t="s">
        <v>264</v>
      </c>
      <c r="AI275" s="4">
        <v>85.3</v>
      </c>
    </row>
    <row r="276" spans="34:35" x14ac:dyDescent="0.3">
      <c r="AH276" s="3" t="s">
        <v>461</v>
      </c>
      <c r="AI276" s="4">
        <v>85.14</v>
      </c>
    </row>
    <row r="277" spans="34:35" x14ac:dyDescent="0.3">
      <c r="AH277" s="3" t="s">
        <v>407</v>
      </c>
      <c r="AI277" s="4">
        <v>84.784000000000006</v>
      </c>
    </row>
    <row r="278" spans="34:35" x14ac:dyDescent="0.3">
      <c r="AH278" s="3" t="s">
        <v>316</v>
      </c>
      <c r="AI278" s="4">
        <v>84.24</v>
      </c>
    </row>
    <row r="279" spans="34:35" x14ac:dyDescent="0.3">
      <c r="AH279" s="3" t="s">
        <v>627</v>
      </c>
      <c r="AI279" s="4">
        <v>83.951999999999998</v>
      </c>
    </row>
    <row r="280" spans="34:35" x14ac:dyDescent="0.3">
      <c r="AH280" s="3" t="s">
        <v>631</v>
      </c>
      <c r="AI280" s="4">
        <v>83.92</v>
      </c>
    </row>
    <row r="281" spans="34:35" x14ac:dyDescent="0.3">
      <c r="AH281" s="3" t="s">
        <v>406</v>
      </c>
      <c r="AI281" s="4">
        <v>83.72</v>
      </c>
    </row>
    <row r="282" spans="34:35" x14ac:dyDescent="0.3">
      <c r="AH282" s="3" t="s">
        <v>344</v>
      </c>
      <c r="AI282" s="4">
        <v>82.896000000000001</v>
      </c>
    </row>
    <row r="283" spans="34:35" x14ac:dyDescent="0.3">
      <c r="AH283" s="3" t="s">
        <v>401</v>
      </c>
      <c r="AI283" s="4">
        <v>82.8</v>
      </c>
    </row>
    <row r="284" spans="34:35" x14ac:dyDescent="0.3">
      <c r="AH284" s="3" t="s">
        <v>160</v>
      </c>
      <c r="AI284" s="4">
        <v>82.8</v>
      </c>
    </row>
    <row r="285" spans="34:35" x14ac:dyDescent="0.3">
      <c r="AH285" s="3" t="s">
        <v>369</v>
      </c>
      <c r="AI285" s="4">
        <v>81.424000000000007</v>
      </c>
    </row>
    <row r="286" spans="34:35" x14ac:dyDescent="0.3">
      <c r="AH286" s="3" t="s">
        <v>233</v>
      </c>
      <c r="AI286" s="4">
        <v>80.98</v>
      </c>
    </row>
    <row r="287" spans="34:35" x14ac:dyDescent="0.3">
      <c r="AH287" s="3" t="s">
        <v>624</v>
      </c>
      <c r="AI287" s="4">
        <v>80.891999999999996</v>
      </c>
    </row>
    <row r="288" spans="34:35" x14ac:dyDescent="0.3">
      <c r="AH288" s="3" t="s">
        <v>323</v>
      </c>
      <c r="AI288" s="4">
        <v>80.58</v>
      </c>
    </row>
    <row r="289" spans="34:35" x14ac:dyDescent="0.3">
      <c r="AH289" s="3" t="s">
        <v>472</v>
      </c>
      <c r="AI289" s="4">
        <v>79.900000000000006</v>
      </c>
    </row>
    <row r="290" spans="34:35" x14ac:dyDescent="0.3">
      <c r="AH290" s="3" t="s">
        <v>686</v>
      </c>
      <c r="AI290" s="4">
        <v>79.14</v>
      </c>
    </row>
    <row r="291" spans="34:35" x14ac:dyDescent="0.3">
      <c r="AH291" s="3" t="s">
        <v>645</v>
      </c>
      <c r="AI291" s="4">
        <v>79.12</v>
      </c>
    </row>
    <row r="292" spans="34:35" x14ac:dyDescent="0.3">
      <c r="AH292" s="3" t="s">
        <v>315</v>
      </c>
      <c r="AI292" s="4">
        <v>77.88</v>
      </c>
    </row>
    <row r="293" spans="34:35" x14ac:dyDescent="0.3">
      <c r="AH293" s="3" t="s">
        <v>284</v>
      </c>
      <c r="AI293" s="4">
        <v>77.88</v>
      </c>
    </row>
    <row r="294" spans="34:35" x14ac:dyDescent="0.3">
      <c r="AH294" s="3" t="s">
        <v>382</v>
      </c>
      <c r="AI294" s="4">
        <v>77.867999999999995</v>
      </c>
    </row>
    <row r="295" spans="34:35" x14ac:dyDescent="0.3">
      <c r="AH295" s="3" t="s">
        <v>329</v>
      </c>
      <c r="AI295" s="4">
        <v>77.599999999999994</v>
      </c>
    </row>
    <row r="296" spans="34:35" x14ac:dyDescent="0.3">
      <c r="AH296" s="3" t="s">
        <v>309</v>
      </c>
      <c r="AI296" s="4">
        <v>76.14</v>
      </c>
    </row>
    <row r="297" spans="34:35" x14ac:dyDescent="0.3">
      <c r="AH297" s="3" t="s">
        <v>326</v>
      </c>
      <c r="AI297" s="4">
        <v>76.12</v>
      </c>
    </row>
    <row r="298" spans="34:35" x14ac:dyDescent="0.3">
      <c r="AH298" s="3" t="s">
        <v>405</v>
      </c>
      <c r="AI298" s="4">
        <v>75.959999999999994</v>
      </c>
    </row>
    <row r="299" spans="34:35" x14ac:dyDescent="0.3">
      <c r="AH299" s="3" t="s">
        <v>642</v>
      </c>
      <c r="AI299" s="4">
        <v>75.792000000000002</v>
      </c>
    </row>
    <row r="300" spans="34:35" x14ac:dyDescent="0.3">
      <c r="AH300" s="3" t="s">
        <v>378</v>
      </c>
      <c r="AI300" s="4">
        <v>75.599999999999994</v>
      </c>
    </row>
    <row r="301" spans="34:35" x14ac:dyDescent="0.3">
      <c r="AH301" s="3" t="s">
        <v>699</v>
      </c>
      <c r="AI301" s="4">
        <v>74.352000000000004</v>
      </c>
    </row>
    <row r="302" spans="34:35" x14ac:dyDescent="0.3">
      <c r="AH302" s="3" t="s">
        <v>670</v>
      </c>
      <c r="AI302" s="4">
        <v>73.215999999999994</v>
      </c>
    </row>
    <row r="303" spans="34:35" x14ac:dyDescent="0.3">
      <c r="AH303" s="3" t="s">
        <v>116</v>
      </c>
      <c r="AI303" s="4">
        <v>72.8</v>
      </c>
    </row>
    <row r="304" spans="34:35" x14ac:dyDescent="0.3">
      <c r="AH304" s="3" t="s">
        <v>502</v>
      </c>
      <c r="AI304" s="4">
        <v>71.975999999999999</v>
      </c>
    </row>
    <row r="305" spans="34:35" x14ac:dyDescent="0.3">
      <c r="AH305" s="3" t="s">
        <v>575</v>
      </c>
      <c r="AI305" s="4">
        <v>70.98</v>
      </c>
    </row>
    <row r="306" spans="34:35" x14ac:dyDescent="0.3">
      <c r="AH306" s="3" t="s">
        <v>302</v>
      </c>
      <c r="AI306" s="4">
        <v>69.989999999999995</v>
      </c>
    </row>
    <row r="307" spans="34:35" x14ac:dyDescent="0.3">
      <c r="AH307" s="3" t="s">
        <v>463</v>
      </c>
      <c r="AI307" s="4">
        <v>69.930000000000007</v>
      </c>
    </row>
    <row r="308" spans="34:35" x14ac:dyDescent="0.3">
      <c r="AH308" s="3" t="s">
        <v>478</v>
      </c>
      <c r="AI308" s="4">
        <v>69.52</v>
      </c>
    </row>
    <row r="309" spans="34:35" x14ac:dyDescent="0.3">
      <c r="AH309" s="3" t="s">
        <v>383</v>
      </c>
      <c r="AI309" s="4">
        <v>68.81</v>
      </c>
    </row>
    <row r="310" spans="34:35" x14ac:dyDescent="0.3">
      <c r="AH310" s="3" t="s">
        <v>342</v>
      </c>
      <c r="AI310" s="4">
        <v>68.62</v>
      </c>
    </row>
    <row r="311" spans="34:35" x14ac:dyDescent="0.3">
      <c r="AH311" s="3" t="s">
        <v>428</v>
      </c>
      <c r="AI311" s="4">
        <v>67.8</v>
      </c>
    </row>
    <row r="312" spans="34:35" x14ac:dyDescent="0.3">
      <c r="AH312" s="3" t="s">
        <v>299</v>
      </c>
      <c r="AI312" s="4">
        <v>67</v>
      </c>
    </row>
    <row r="313" spans="34:35" x14ac:dyDescent="0.3">
      <c r="AH313" s="3" t="s">
        <v>441</v>
      </c>
      <c r="AI313" s="4">
        <v>66.581999999999994</v>
      </c>
    </row>
    <row r="314" spans="34:35" x14ac:dyDescent="0.3">
      <c r="AH314" s="3" t="s">
        <v>305</v>
      </c>
      <c r="AI314" s="4">
        <v>66.284000000000006</v>
      </c>
    </row>
    <row r="315" spans="34:35" x14ac:dyDescent="0.3">
      <c r="AH315" s="3" t="s">
        <v>483</v>
      </c>
      <c r="AI315" s="4">
        <v>65.408000000000001</v>
      </c>
    </row>
    <row r="316" spans="34:35" x14ac:dyDescent="0.3">
      <c r="AH316" s="3" t="s">
        <v>612</v>
      </c>
      <c r="AI316" s="4">
        <v>64.75200000000001</v>
      </c>
    </row>
    <row r="317" spans="34:35" x14ac:dyDescent="0.3">
      <c r="AH317" s="3" t="s">
        <v>188</v>
      </c>
      <c r="AI317" s="4">
        <v>64.623999999999995</v>
      </c>
    </row>
    <row r="318" spans="34:35" x14ac:dyDescent="0.3">
      <c r="AH318" s="3" t="s">
        <v>682</v>
      </c>
      <c r="AI318" s="4">
        <v>63.387999999999998</v>
      </c>
    </row>
    <row r="319" spans="34:35" x14ac:dyDescent="0.3">
      <c r="AH319" s="3" t="s">
        <v>260</v>
      </c>
      <c r="AI319" s="4">
        <v>62.567999999999998</v>
      </c>
    </row>
    <row r="320" spans="34:35" x14ac:dyDescent="0.3">
      <c r="AH320" s="3" t="s">
        <v>468</v>
      </c>
      <c r="AI320" s="4">
        <v>62.400000000000006</v>
      </c>
    </row>
    <row r="321" spans="34:35" x14ac:dyDescent="0.3">
      <c r="AH321" s="3" t="s">
        <v>119</v>
      </c>
      <c r="AI321" s="4">
        <v>62.001999999999995</v>
      </c>
    </row>
    <row r="322" spans="34:35" x14ac:dyDescent="0.3">
      <c r="AH322" s="3" t="s">
        <v>588</v>
      </c>
      <c r="AI322" s="4">
        <v>61.96</v>
      </c>
    </row>
    <row r="323" spans="34:35" x14ac:dyDescent="0.3">
      <c r="AH323" s="3" t="s">
        <v>147</v>
      </c>
      <c r="AI323" s="4">
        <v>61.1</v>
      </c>
    </row>
    <row r="324" spans="34:35" x14ac:dyDescent="0.3">
      <c r="AH324" s="3" t="s">
        <v>216</v>
      </c>
      <c r="AI324" s="4">
        <v>60.45</v>
      </c>
    </row>
    <row r="325" spans="34:35" x14ac:dyDescent="0.3">
      <c r="AH325" s="3" t="s">
        <v>251</v>
      </c>
      <c r="AI325" s="4">
        <v>60.415999999999997</v>
      </c>
    </row>
    <row r="326" spans="34:35" x14ac:dyDescent="0.3">
      <c r="AH326" s="3" t="s">
        <v>287</v>
      </c>
      <c r="AI326" s="4">
        <v>60.311999999999998</v>
      </c>
    </row>
    <row r="327" spans="34:35" x14ac:dyDescent="0.3">
      <c r="AH327" s="3" t="s">
        <v>348</v>
      </c>
      <c r="AI327" s="4">
        <v>59.808</v>
      </c>
    </row>
    <row r="328" spans="34:35" x14ac:dyDescent="0.3">
      <c r="AH328" s="3" t="s">
        <v>499</v>
      </c>
      <c r="AI328" s="4">
        <v>59.52</v>
      </c>
    </row>
    <row r="329" spans="34:35" x14ac:dyDescent="0.3">
      <c r="AH329" s="3" t="s">
        <v>619</v>
      </c>
      <c r="AI329" s="4">
        <v>58.688000000000002</v>
      </c>
    </row>
    <row r="330" spans="34:35" x14ac:dyDescent="0.3">
      <c r="AH330" s="3" t="s">
        <v>466</v>
      </c>
      <c r="AI330" s="4">
        <v>58.415999999999997</v>
      </c>
    </row>
    <row r="331" spans="34:35" x14ac:dyDescent="0.3">
      <c r="AH331" s="3" t="s">
        <v>604</v>
      </c>
      <c r="AI331" s="4">
        <v>58.38</v>
      </c>
    </row>
    <row r="332" spans="34:35" x14ac:dyDescent="0.3">
      <c r="AH332" s="3" t="s">
        <v>336</v>
      </c>
      <c r="AI332" s="4">
        <v>58.05</v>
      </c>
    </row>
    <row r="333" spans="34:35" x14ac:dyDescent="0.3">
      <c r="AH333" s="3" t="s">
        <v>376</v>
      </c>
      <c r="AI333" s="4">
        <v>57.567999999999998</v>
      </c>
    </row>
    <row r="334" spans="34:35" x14ac:dyDescent="0.3">
      <c r="AH334" s="3" t="s">
        <v>561</v>
      </c>
      <c r="AI334" s="4">
        <v>57.23</v>
      </c>
    </row>
    <row r="335" spans="34:35" x14ac:dyDescent="0.3">
      <c r="AH335" s="3" t="s">
        <v>230</v>
      </c>
      <c r="AI335" s="4">
        <v>56.667999999999999</v>
      </c>
    </row>
    <row r="336" spans="34:35" x14ac:dyDescent="0.3">
      <c r="AH336" s="3" t="s">
        <v>654</v>
      </c>
      <c r="AI336" s="4">
        <v>56.56</v>
      </c>
    </row>
    <row r="337" spans="34:35" x14ac:dyDescent="0.3">
      <c r="AH337" s="3" t="s">
        <v>217</v>
      </c>
      <c r="AI337" s="4">
        <v>56.3</v>
      </c>
    </row>
    <row r="338" spans="34:35" x14ac:dyDescent="0.3">
      <c r="AH338" s="3" t="s">
        <v>289</v>
      </c>
      <c r="AI338" s="4">
        <v>56.28</v>
      </c>
    </row>
    <row r="339" spans="34:35" x14ac:dyDescent="0.3">
      <c r="AH339" s="3" t="s">
        <v>148</v>
      </c>
      <c r="AI339" s="4">
        <v>54.936000000000007</v>
      </c>
    </row>
    <row r="340" spans="34:35" x14ac:dyDescent="0.3">
      <c r="AH340" s="3" t="s">
        <v>433</v>
      </c>
      <c r="AI340" s="4">
        <v>54.384</v>
      </c>
    </row>
    <row r="341" spans="34:35" x14ac:dyDescent="0.3">
      <c r="AH341" s="3" t="s">
        <v>218</v>
      </c>
      <c r="AI341" s="4">
        <v>53.94</v>
      </c>
    </row>
    <row r="342" spans="34:35" x14ac:dyDescent="0.3">
      <c r="AH342" s="3" t="s">
        <v>425</v>
      </c>
      <c r="AI342" s="4">
        <v>52.448</v>
      </c>
    </row>
    <row r="343" spans="34:35" x14ac:dyDescent="0.3">
      <c r="AH343" s="3" t="s">
        <v>127</v>
      </c>
      <c r="AI343" s="4">
        <v>52.136000000000003</v>
      </c>
    </row>
    <row r="344" spans="34:35" x14ac:dyDescent="0.3">
      <c r="AH344" s="3" t="s">
        <v>718</v>
      </c>
      <c r="AI344" s="4">
        <v>51.84</v>
      </c>
    </row>
    <row r="345" spans="34:35" x14ac:dyDescent="0.3">
      <c r="AH345" s="3" t="s">
        <v>639</v>
      </c>
      <c r="AI345" s="4">
        <v>51.311999999999998</v>
      </c>
    </row>
    <row r="346" spans="34:35" x14ac:dyDescent="0.3">
      <c r="AH346" s="3" t="s">
        <v>607</v>
      </c>
      <c r="AI346" s="4">
        <v>50.96</v>
      </c>
    </row>
    <row r="347" spans="34:35" x14ac:dyDescent="0.3">
      <c r="AH347" s="3" t="s">
        <v>617</v>
      </c>
      <c r="AI347" s="4">
        <v>50.933999999999997</v>
      </c>
    </row>
    <row r="348" spans="34:35" x14ac:dyDescent="0.3">
      <c r="AH348" s="3" t="s">
        <v>467</v>
      </c>
      <c r="AI348" s="4">
        <v>50.88</v>
      </c>
    </row>
    <row r="349" spans="34:35" x14ac:dyDescent="0.3">
      <c r="AH349" s="3" t="s">
        <v>280</v>
      </c>
      <c r="AI349" s="4">
        <v>50.239999999999995</v>
      </c>
    </row>
    <row r="350" spans="34:35" x14ac:dyDescent="0.3">
      <c r="AH350" s="3" t="s">
        <v>104</v>
      </c>
      <c r="AI350" s="4">
        <v>49.96</v>
      </c>
    </row>
    <row r="351" spans="34:35" x14ac:dyDescent="0.3">
      <c r="AH351" s="3" t="s">
        <v>294</v>
      </c>
      <c r="AI351" s="4">
        <v>49.4</v>
      </c>
    </row>
    <row r="352" spans="34:35" x14ac:dyDescent="0.3">
      <c r="AH352" s="3" t="s">
        <v>443</v>
      </c>
      <c r="AI352" s="4">
        <v>49.08</v>
      </c>
    </row>
    <row r="353" spans="34:35" x14ac:dyDescent="0.3">
      <c r="AH353" s="3" t="s">
        <v>439</v>
      </c>
      <c r="AI353" s="4">
        <v>48.896000000000001</v>
      </c>
    </row>
    <row r="354" spans="34:35" x14ac:dyDescent="0.3">
      <c r="AH354" s="3" t="s">
        <v>367</v>
      </c>
      <c r="AI354" s="4">
        <v>48.712000000000003</v>
      </c>
    </row>
    <row r="355" spans="34:35" x14ac:dyDescent="0.3">
      <c r="AH355" s="3" t="s">
        <v>314</v>
      </c>
      <c r="AI355" s="4">
        <v>48.69</v>
      </c>
    </row>
    <row r="356" spans="34:35" x14ac:dyDescent="0.3">
      <c r="AH356" s="3" t="s">
        <v>673</v>
      </c>
      <c r="AI356" s="4">
        <v>48.4</v>
      </c>
    </row>
    <row r="357" spans="34:35" x14ac:dyDescent="0.3">
      <c r="AH357" s="3" t="s">
        <v>117</v>
      </c>
      <c r="AI357" s="4">
        <v>48.36</v>
      </c>
    </row>
    <row r="358" spans="34:35" x14ac:dyDescent="0.3">
      <c r="AH358" s="3" t="s">
        <v>121</v>
      </c>
      <c r="AI358" s="4">
        <v>48.118000000000002</v>
      </c>
    </row>
    <row r="359" spans="34:35" x14ac:dyDescent="0.3">
      <c r="AH359" s="3" t="s">
        <v>628</v>
      </c>
      <c r="AI359" s="4">
        <v>47.94</v>
      </c>
    </row>
    <row r="360" spans="34:35" x14ac:dyDescent="0.3">
      <c r="AH360" s="3" t="s">
        <v>158</v>
      </c>
      <c r="AI360" s="4">
        <v>47.04</v>
      </c>
    </row>
    <row r="361" spans="34:35" x14ac:dyDescent="0.3">
      <c r="AH361" s="3" t="s">
        <v>634</v>
      </c>
      <c r="AI361" s="4">
        <v>46.96</v>
      </c>
    </row>
    <row r="362" spans="34:35" x14ac:dyDescent="0.3">
      <c r="AH362" s="3" t="s">
        <v>262</v>
      </c>
      <c r="AI362" s="4">
        <v>46.26</v>
      </c>
    </row>
    <row r="363" spans="34:35" x14ac:dyDescent="0.3">
      <c r="AH363" s="3" t="s">
        <v>263</v>
      </c>
      <c r="AI363" s="4">
        <v>46.26</v>
      </c>
    </row>
    <row r="364" spans="34:35" x14ac:dyDescent="0.3">
      <c r="AH364" s="3" t="s">
        <v>247</v>
      </c>
      <c r="AI364" s="4">
        <v>45.863999999999997</v>
      </c>
    </row>
    <row r="365" spans="34:35" x14ac:dyDescent="0.3">
      <c r="AH365" s="3" t="s">
        <v>340</v>
      </c>
      <c r="AI365" s="4">
        <v>45.664000000000001</v>
      </c>
    </row>
    <row r="366" spans="34:35" x14ac:dyDescent="0.3">
      <c r="AH366" s="3" t="s">
        <v>128</v>
      </c>
      <c r="AI366" s="4">
        <v>45.584000000000003</v>
      </c>
    </row>
    <row r="367" spans="34:35" x14ac:dyDescent="0.3">
      <c r="AH367" s="3" t="s">
        <v>332</v>
      </c>
      <c r="AI367" s="4">
        <v>45.48</v>
      </c>
    </row>
    <row r="368" spans="34:35" x14ac:dyDescent="0.3">
      <c r="AH368" s="3" t="s">
        <v>199</v>
      </c>
      <c r="AI368" s="4">
        <v>45.216000000000001</v>
      </c>
    </row>
    <row r="369" spans="34:35" x14ac:dyDescent="0.3">
      <c r="AH369" s="3" t="s">
        <v>413</v>
      </c>
      <c r="AI369" s="4">
        <v>45</v>
      </c>
    </row>
    <row r="370" spans="34:35" x14ac:dyDescent="0.3">
      <c r="AH370" s="3" t="s">
        <v>173</v>
      </c>
      <c r="AI370" s="4">
        <v>43.86</v>
      </c>
    </row>
    <row r="371" spans="34:35" x14ac:dyDescent="0.3">
      <c r="AH371" s="3" t="s">
        <v>393</v>
      </c>
      <c r="AI371" s="4">
        <v>43.512</v>
      </c>
    </row>
    <row r="372" spans="34:35" x14ac:dyDescent="0.3">
      <c r="AH372" s="3" t="s">
        <v>397</v>
      </c>
      <c r="AI372" s="4">
        <v>43.13</v>
      </c>
    </row>
    <row r="373" spans="34:35" x14ac:dyDescent="0.3">
      <c r="AH373" s="3" t="s">
        <v>578</v>
      </c>
      <c r="AI373" s="4">
        <v>42.76</v>
      </c>
    </row>
    <row r="374" spans="34:35" x14ac:dyDescent="0.3">
      <c r="AH374" s="3" t="s">
        <v>249</v>
      </c>
      <c r="AI374" s="4">
        <v>42.6</v>
      </c>
    </row>
    <row r="375" spans="34:35" x14ac:dyDescent="0.3">
      <c r="AH375" s="3" t="s">
        <v>455</v>
      </c>
      <c r="AI375" s="4">
        <v>41.96</v>
      </c>
    </row>
    <row r="376" spans="34:35" x14ac:dyDescent="0.3">
      <c r="AH376" s="3" t="s">
        <v>600</v>
      </c>
      <c r="AI376" s="4">
        <v>41.9</v>
      </c>
    </row>
    <row r="377" spans="34:35" x14ac:dyDescent="0.3">
      <c r="AH377" s="3" t="s">
        <v>190</v>
      </c>
      <c r="AI377" s="4">
        <v>41.28</v>
      </c>
    </row>
    <row r="378" spans="34:35" x14ac:dyDescent="0.3">
      <c r="AH378" s="3" t="s">
        <v>494</v>
      </c>
      <c r="AI378" s="4">
        <v>41.088000000000001</v>
      </c>
    </row>
    <row r="379" spans="34:35" x14ac:dyDescent="0.3">
      <c r="AH379" s="3" t="s">
        <v>490</v>
      </c>
      <c r="AI379" s="4">
        <v>40.880000000000003</v>
      </c>
    </row>
    <row r="380" spans="34:35" x14ac:dyDescent="0.3">
      <c r="AH380" s="3" t="s">
        <v>566</v>
      </c>
      <c r="AI380" s="4">
        <v>40.74</v>
      </c>
    </row>
    <row r="381" spans="34:35" x14ac:dyDescent="0.3">
      <c r="AH381" s="3" t="s">
        <v>157</v>
      </c>
      <c r="AI381" s="4">
        <v>40.68</v>
      </c>
    </row>
    <row r="382" spans="34:35" x14ac:dyDescent="0.3">
      <c r="AH382" s="3" t="s">
        <v>259</v>
      </c>
      <c r="AI382" s="4">
        <v>40.479999999999997</v>
      </c>
    </row>
    <row r="383" spans="34:35" x14ac:dyDescent="0.3">
      <c r="AH383" s="3" t="s">
        <v>518</v>
      </c>
      <c r="AI383" s="4">
        <v>40.095999999999997</v>
      </c>
    </row>
    <row r="384" spans="34:35" x14ac:dyDescent="0.3">
      <c r="AH384" s="3" t="s">
        <v>355</v>
      </c>
      <c r="AI384" s="4">
        <v>39.99</v>
      </c>
    </row>
    <row r="385" spans="34:35" x14ac:dyDescent="0.3">
      <c r="AH385" s="3" t="s">
        <v>105</v>
      </c>
      <c r="AI385" s="4">
        <v>39.96</v>
      </c>
    </row>
    <row r="386" spans="34:35" x14ac:dyDescent="0.3">
      <c r="AH386" s="3" t="s">
        <v>135</v>
      </c>
      <c r="AI386" s="4">
        <v>39.9</v>
      </c>
    </row>
    <row r="387" spans="34:35" x14ac:dyDescent="0.3">
      <c r="AH387" s="3" t="s">
        <v>451</v>
      </c>
      <c r="AI387" s="4">
        <v>39.880000000000003</v>
      </c>
    </row>
    <row r="388" spans="34:35" x14ac:dyDescent="0.3">
      <c r="AH388" s="3" t="s">
        <v>693</v>
      </c>
      <c r="AI388" s="4">
        <v>38.880000000000003</v>
      </c>
    </row>
    <row r="389" spans="34:35" x14ac:dyDescent="0.3">
      <c r="AH389" s="3" t="s">
        <v>304</v>
      </c>
      <c r="AI389" s="4">
        <v>38.880000000000003</v>
      </c>
    </row>
    <row r="390" spans="34:35" x14ac:dyDescent="0.3">
      <c r="AH390" s="3" t="s">
        <v>122</v>
      </c>
      <c r="AI390" s="4">
        <v>37.659999999999997</v>
      </c>
    </row>
    <row r="391" spans="34:35" x14ac:dyDescent="0.3">
      <c r="AH391" s="3" t="s">
        <v>572</v>
      </c>
      <c r="AI391" s="4">
        <v>37.207999999999998</v>
      </c>
    </row>
    <row r="392" spans="34:35" x14ac:dyDescent="0.3">
      <c r="AH392" s="3" t="s">
        <v>107</v>
      </c>
      <c r="AI392" s="4">
        <v>37</v>
      </c>
    </row>
    <row r="393" spans="34:35" x14ac:dyDescent="0.3">
      <c r="AH393" s="3" t="s">
        <v>297</v>
      </c>
      <c r="AI393" s="4">
        <v>36.56</v>
      </c>
    </row>
    <row r="394" spans="34:35" x14ac:dyDescent="0.3">
      <c r="AH394" s="3" t="s">
        <v>231</v>
      </c>
      <c r="AI394" s="4">
        <v>36.4</v>
      </c>
    </row>
    <row r="395" spans="34:35" x14ac:dyDescent="0.3">
      <c r="AH395" s="3" t="s">
        <v>292</v>
      </c>
      <c r="AI395" s="4">
        <v>36.335999999999999</v>
      </c>
    </row>
    <row r="396" spans="34:35" x14ac:dyDescent="0.3">
      <c r="AH396" s="3" t="s">
        <v>613</v>
      </c>
      <c r="AI396" s="4">
        <v>35.909999999999997</v>
      </c>
    </row>
    <row r="397" spans="34:35" x14ac:dyDescent="0.3">
      <c r="AH397" s="3" t="s">
        <v>458</v>
      </c>
      <c r="AI397" s="4">
        <v>35.56</v>
      </c>
    </row>
    <row r="398" spans="34:35" x14ac:dyDescent="0.3">
      <c r="AH398" s="3" t="s">
        <v>308</v>
      </c>
      <c r="AI398" s="4">
        <v>35.340000000000003</v>
      </c>
    </row>
    <row r="399" spans="34:35" x14ac:dyDescent="0.3">
      <c r="AH399" s="3" t="s">
        <v>464</v>
      </c>
      <c r="AI399" s="4">
        <v>35.167999999999999</v>
      </c>
    </row>
    <row r="400" spans="34:35" x14ac:dyDescent="0.3">
      <c r="AH400" s="3" t="s">
        <v>281</v>
      </c>
      <c r="AI400" s="4">
        <v>35.167999999999999</v>
      </c>
    </row>
    <row r="401" spans="34:35" x14ac:dyDescent="0.3">
      <c r="AH401" s="3" t="s">
        <v>562</v>
      </c>
      <c r="AI401" s="4">
        <v>35.144000000000005</v>
      </c>
    </row>
    <row r="402" spans="34:35" x14ac:dyDescent="0.3">
      <c r="AH402" s="3" t="s">
        <v>126</v>
      </c>
      <c r="AI402" s="4">
        <v>35.06</v>
      </c>
    </row>
    <row r="403" spans="34:35" x14ac:dyDescent="0.3">
      <c r="AH403" s="3" t="s">
        <v>480</v>
      </c>
      <c r="AI403" s="4">
        <v>34.65</v>
      </c>
    </row>
    <row r="404" spans="34:35" x14ac:dyDescent="0.3">
      <c r="AH404" s="3" t="s">
        <v>482</v>
      </c>
      <c r="AI404" s="4">
        <v>34.033999999999999</v>
      </c>
    </row>
    <row r="405" spans="34:35" x14ac:dyDescent="0.3">
      <c r="AH405" s="3" t="s">
        <v>172</v>
      </c>
      <c r="AI405" s="4">
        <v>33.864000000000004</v>
      </c>
    </row>
    <row r="406" spans="34:35" x14ac:dyDescent="0.3">
      <c r="AH406" s="3" t="s">
        <v>271</v>
      </c>
      <c r="AI406" s="4">
        <v>33.488</v>
      </c>
    </row>
    <row r="407" spans="34:35" x14ac:dyDescent="0.3">
      <c r="AH407" s="3" t="s">
        <v>671</v>
      </c>
      <c r="AI407" s="4">
        <v>33.450000000000003</v>
      </c>
    </row>
    <row r="408" spans="34:35" x14ac:dyDescent="0.3">
      <c r="AH408" s="3" t="s">
        <v>115</v>
      </c>
      <c r="AI408" s="4">
        <v>33.28</v>
      </c>
    </row>
    <row r="409" spans="34:35" x14ac:dyDescent="0.3">
      <c r="AH409" s="3" t="s">
        <v>268</v>
      </c>
      <c r="AI409" s="4">
        <v>32.76</v>
      </c>
    </row>
    <row r="410" spans="34:35" x14ac:dyDescent="0.3">
      <c r="AH410" s="3" t="s">
        <v>154</v>
      </c>
      <c r="AI410" s="4">
        <v>32.192</v>
      </c>
    </row>
    <row r="411" spans="34:35" x14ac:dyDescent="0.3">
      <c r="AH411" s="3" t="s">
        <v>591</v>
      </c>
      <c r="AI411" s="4">
        <v>32.164000000000001</v>
      </c>
    </row>
    <row r="412" spans="34:35" x14ac:dyDescent="0.3">
      <c r="AH412" s="3" t="s">
        <v>684</v>
      </c>
      <c r="AI412" s="4">
        <v>31.872</v>
      </c>
    </row>
    <row r="413" spans="34:35" x14ac:dyDescent="0.3">
      <c r="AH413" s="3" t="s">
        <v>460</v>
      </c>
      <c r="AI413" s="4">
        <v>31.86</v>
      </c>
    </row>
    <row r="414" spans="34:35" x14ac:dyDescent="0.3">
      <c r="AH414" s="3" t="s">
        <v>715</v>
      </c>
      <c r="AI414" s="4">
        <v>31.103999999999999</v>
      </c>
    </row>
    <row r="415" spans="34:35" x14ac:dyDescent="0.3">
      <c r="AH415" s="3" t="s">
        <v>717</v>
      </c>
      <c r="AI415" s="4">
        <v>31.103999999999999</v>
      </c>
    </row>
    <row r="416" spans="34:35" x14ac:dyDescent="0.3">
      <c r="AH416" s="3" t="s">
        <v>459</v>
      </c>
      <c r="AI416" s="4">
        <v>30.36</v>
      </c>
    </row>
    <row r="417" spans="34:35" x14ac:dyDescent="0.3">
      <c r="AH417" s="3" t="s">
        <v>688</v>
      </c>
      <c r="AI417" s="4">
        <v>30.352</v>
      </c>
    </row>
    <row r="418" spans="34:35" x14ac:dyDescent="0.3">
      <c r="AH418" s="3" t="s">
        <v>683</v>
      </c>
      <c r="AI418" s="4">
        <v>29.97</v>
      </c>
    </row>
    <row r="419" spans="34:35" x14ac:dyDescent="0.3">
      <c r="AH419" s="3" t="s">
        <v>633</v>
      </c>
      <c r="AI419" s="4">
        <v>29.78</v>
      </c>
    </row>
    <row r="420" spans="34:35" x14ac:dyDescent="0.3">
      <c r="AH420" s="3" t="s">
        <v>676</v>
      </c>
      <c r="AI420" s="4">
        <v>29.472000000000001</v>
      </c>
    </row>
    <row r="421" spans="34:35" x14ac:dyDescent="0.3">
      <c r="AH421" s="3" t="s">
        <v>402</v>
      </c>
      <c r="AI421" s="4">
        <v>29</v>
      </c>
    </row>
    <row r="422" spans="34:35" x14ac:dyDescent="0.3">
      <c r="AH422" s="3" t="s">
        <v>698</v>
      </c>
      <c r="AI422" s="4">
        <v>28.9</v>
      </c>
    </row>
    <row r="423" spans="34:35" x14ac:dyDescent="0.3">
      <c r="AH423" s="3" t="s">
        <v>668</v>
      </c>
      <c r="AI423" s="4">
        <v>27.68</v>
      </c>
    </row>
    <row r="424" spans="34:35" x14ac:dyDescent="0.3">
      <c r="AH424" s="3" t="s">
        <v>611</v>
      </c>
      <c r="AI424" s="4">
        <v>27.167999999999999</v>
      </c>
    </row>
    <row r="425" spans="34:35" x14ac:dyDescent="0.3">
      <c r="AH425" s="3" t="s">
        <v>570</v>
      </c>
      <c r="AI425" s="4">
        <v>27.16</v>
      </c>
    </row>
    <row r="426" spans="34:35" x14ac:dyDescent="0.3">
      <c r="AH426" s="3" t="s">
        <v>416</v>
      </c>
      <c r="AI426" s="4">
        <v>26.88</v>
      </c>
    </row>
    <row r="427" spans="34:35" x14ac:dyDescent="0.3">
      <c r="AH427" s="3" t="s">
        <v>346</v>
      </c>
      <c r="AI427" s="4">
        <v>26.55</v>
      </c>
    </row>
    <row r="428" spans="34:35" x14ac:dyDescent="0.3">
      <c r="AH428" s="3" t="s">
        <v>677</v>
      </c>
      <c r="AI428" s="4">
        <v>26.38</v>
      </c>
    </row>
    <row r="429" spans="34:35" x14ac:dyDescent="0.3">
      <c r="AH429" s="3" t="s">
        <v>618</v>
      </c>
      <c r="AI429" s="4">
        <v>25.98</v>
      </c>
    </row>
    <row r="430" spans="34:35" x14ac:dyDescent="0.3">
      <c r="AH430" s="3" t="s">
        <v>711</v>
      </c>
      <c r="AI430" s="4">
        <v>25.92</v>
      </c>
    </row>
    <row r="431" spans="34:35" x14ac:dyDescent="0.3">
      <c r="AH431" s="3" t="s">
        <v>700</v>
      </c>
      <c r="AI431" s="4">
        <v>25.92</v>
      </c>
    </row>
    <row r="432" spans="34:35" x14ac:dyDescent="0.3">
      <c r="AH432" s="3" t="s">
        <v>716</v>
      </c>
      <c r="AI432" s="4">
        <v>25.92</v>
      </c>
    </row>
    <row r="433" spans="34:35" x14ac:dyDescent="0.3">
      <c r="AH433" s="3" t="s">
        <v>721</v>
      </c>
      <c r="AI433" s="4">
        <v>25.92</v>
      </c>
    </row>
    <row r="434" spans="34:35" x14ac:dyDescent="0.3">
      <c r="AH434" s="3" t="s">
        <v>692</v>
      </c>
      <c r="AI434" s="4">
        <v>25.92</v>
      </c>
    </row>
    <row r="435" spans="34:35" x14ac:dyDescent="0.3">
      <c r="AH435" s="3" t="s">
        <v>708</v>
      </c>
      <c r="AI435" s="4">
        <v>25.68</v>
      </c>
    </row>
    <row r="436" spans="34:35" x14ac:dyDescent="0.3">
      <c r="AH436" s="3" t="s">
        <v>615</v>
      </c>
      <c r="AI436" s="4">
        <v>25.472000000000001</v>
      </c>
    </row>
    <row r="437" spans="34:35" x14ac:dyDescent="0.3">
      <c r="AH437" s="3" t="s">
        <v>635</v>
      </c>
      <c r="AI437" s="4">
        <v>25.344000000000001</v>
      </c>
    </row>
    <row r="438" spans="34:35" x14ac:dyDescent="0.3">
      <c r="AH438" s="3" t="s">
        <v>652</v>
      </c>
      <c r="AI438" s="4">
        <v>25.11</v>
      </c>
    </row>
    <row r="439" spans="34:35" x14ac:dyDescent="0.3">
      <c r="AH439" s="3" t="s">
        <v>288</v>
      </c>
      <c r="AI439" s="4">
        <v>24.96</v>
      </c>
    </row>
    <row r="440" spans="34:35" x14ac:dyDescent="0.3">
      <c r="AH440" s="3" t="s">
        <v>629</v>
      </c>
      <c r="AI440" s="4">
        <v>24.815999999999999</v>
      </c>
    </row>
    <row r="441" spans="34:35" x14ac:dyDescent="0.3">
      <c r="AH441" s="3" t="s">
        <v>246</v>
      </c>
      <c r="AI441" s="4">
        <v>24.596</v>
      </c>
    </row>
    <row r="442" spans="34:35" x14ac:dyDescent="0.3">
      <c r="AH442" s="3" t="s">
        <v>560</v>
      </c>
      <c r="AI442" s="4">
        <v>24.56</v>
      </c>
    </row>
    <row r="443" spans="34:35" x14ac:dyDescent="0.3">
      <c r="AH443" s="3" t="s">
        <v>100</v>
      </c>
      <c r="AI443" s="4">
        <v>24.448</v>
      </c>
    </row>
    <row r="444" spans="34:35" x14ac:dyDescent="0.3">
      <c r="AH444" s="3" t="s">
        <v>653</v>
      </c>
      <c r="AI444" s="4">
        <v>23.99</v>
      </c>
    </row>
    <row r="445" spans="34:35" x14ac:dyDescent="0.3">
      <c r="AH445" s="3" t="s">
        <v>532</v>
      </c>
      <c r="AI445" s="4">
        <v>23.952000000000002</v>
      </c>
    </row>
    <row r="446" spans="34:35" x14ac:dyDescent="0.3">
      <c r="AH446" s="3" t="s">
        <v>646</v>
      </c>
      <c r="AI446" s="4">
        <v>23.92</v>
      </c>
    </row>
    <row r="447" spans="34:35" x14ac:dyDescent="0.3">
      <c r="AH447" s="3" t="s">
        <v>130</v>
      </c>
      <c r="AI447" s="4">
        <v>23.76</v>
      </c>
    </row>
    <row r="448" spans="34:35" x14ac:dyDescent="0.3">
      <c r="AH448" s="3" t="s">
        <v>174</v>
      </c>
      <c r="AI448" s="4">
        <v>23.68</v>
      </c>
    </row>
    <row r="449" spans="34:35" x14ac:dyDescent="0.3">
      <c r="AH449" s="3" t="s">
        <v>298</v>
      </c>
      <c r="AI449" s="4">
        <v>23.56</v>
      </c>
    </row>
    <row r="450" spans="34:35" x14ac:dyDescent="0.3">
      <c r="AH450" s="3" t="s">
        <v>151</v>
      </c>
      <c r="AI450" s="4">
        <v>23.36</v>
      </c>
    </row>
    <row r="451" spans="34:35" x14ac:dyDescent="0.3">
      <c r="AH451" s="3" t="s">
        <v>725</v>
      </c>
      <c r="AI451" s="4">
        <v>23.328000000000003</v>
      </c>
    </row>
    <row r="452" spans="34:35" x14ac:dyDescent="0.3">
      <c r="AH452" s="3" t="s">
        <v>658</v>
      </c>
      <c r="AI452" s="4">
        <v>23.2</v>
      </c>
    </row>
    <row r="453" spans="34:35" x14ac:dyDescent="0.3">
      <c r="AH453" s="3" t="s">
        <v>491</v>
      </c>
      <c r="AI453" s="4">
        <v>22.932000000000002</v>
      </c>
    </row>
    <row r="454" spans="34:35" x14ac:dyDescent="0.3">
      <c r="AH454" s="3" t="s">
        <v>133</v>
      </c>
      <c r="AI454" s="4">
        <v>22.72</v>
      </c>
    </row>
    <row r="455" spans="34:35" x14ac:dyDescent="0.3">
      <c r="AH455" s="3" t="s">
        <v>649</v>
      </c>
      <c r="AI455" s="4">
        <v>22.62</v>
      </c>
    </row>
    <row r="456" spans="34:35" x14ac:dyDescent="0.3">
      <c r="AH456" s="3" t="s">
        <v>232</v>
      </c>
      <c r="AI456" s="4">
        <v>22.594000000000001</v>
      </c>
    </row>
    <row r="457" spans="34:35" x14ac:dyDescent="0.3">
      <c r="AH457" s="3" t="s">
        <v>279</v>
      </c>
      <c r="AI457" s="4">
        <v>22.241999999999997</v>
      </c>
    </row>
    <row r="458" spans="34:35" x14ac:dyDescent="0.3">
      <c r="AH458" s="3" t="s">
        <v>311</v>
      </c>
      <c r="AI458" s="4">
        <v>22.23</v>
      </c>
    </row>
    <row r="459" spans="34:35" x14ac:dyDescent="0.3">
      <c r="AH459" s="3" t="s">
        <v>140</v>
      </c>
      <c r="AI459" s="4">
        <v>21.88</v>
      </c>
    </row>
    <row r="460" spans="34:35" x14ac:dyDescent="0.3">
      <c r="AH460" s="3" t="s">
        <v>437</v>
      </c>
      <c r="AI460" s="4">
        <v>21.8</v>
      </c>
    </row>
    <row r="461" spans="34:35" x14ac:dyDescent="0.3">
      <c r="AH461" s="3" t="s">
        <v>606</v>
      </c>
      <c r="AI461" s="4">
        <v>21.744</v>
      </c>
    </row>
    <row r="462" spans="34:35" x14ac:dyDescent="0.3">
      <c r="AH462" s="3" t="s">
        <v>427</v>
      </c>
      <c r="AI462" s="4">
        <v>21.48</v>
      </c>
    </row>
    <row r="463" spans="34:35" x14ac:dyDescent="0.3">
      <c r="AH463" s="3" t="s">
        <v>132</v>
      </c>
      <c r="AI463" s="4">
        <v>20.94</v>
      </c>
    </row>
    <row r="464" spans="34:35" x14ac:dyDescent="0.3">
      <c r="AH464" s="3" t="s">
        <v>171</v>
      </c>
      <c r="AI464" s="4">
        <v>20.88</v>
      </c>
    </row>
    <row r="465" spans="34:35" x14ac:dyDescent="0.3">
      <c r="AH465" s="3" t="s">
        <v>550</v>
      </c>
      <c r="AI465" s="4">
        <v>20.86</v>
      </c>
    </row>
    <row r="466" spans="34:35" x14ac:dyDescent="0.3">
      <c r="AH466" s="3" t="s">
        <v>713</v>
      </c>
      <c r="AI466" s="4">
        <v>20.736000000000001</v>
      </c>
    </row>
    <row r="467" spans="34:35" x14ac:dyDescent="0.3">
      <c r="AH467" s="3" t="s">
        <v>726</v>
      </c>
      <c r="AI467" s="4">
        <v>20.736000000000001</v>
      </c>
    </row>
    <row r="468" spans="34:35" x14ac:dyDescent="0.3">
      <c r="AH468" s="3" t="s">
        <v>179</v>
      </c>
      <c r="AI468" s="4">
        <v>20.7</v>
      </c>
    </row>
    <row r="469" spans="34:35" x14ac:dyDescent="0.3">
      <c r="AH469" s="3" t="s">
        <v>182</v>
      </c>
      <c r="AI469" s="4">
        <v>20.16</v>
      </c>
    </row>
    <row r="470" spans="34:35" x14ac:dyDescent="0.3">
      <c r="AH470" s="3" t="s">
        <v>643</v>
      </c>
      <c r="AI470" s="4">
        <v>20.100000000000001</v>
      </c>
    </row>
    <row r="471" spans="34:35" x14ac:dyDescent="0.3">
      <c r="AH471" s="3" t="s">
        <v>697</v>
      </c>
      <c r="AI471" s="4">
        <v>20.04</v>
      </c>
    </row>
    <row r="472" spans="34:35" x14ac:dyDescent="0.3">
      <c r="AH472" s="3" t="s">
        <v>450</v>
      </c>
      <c r="AI472" s="4">
        <v>19.989999999999998</v>
      </c>
    </row>
    <row r="473" spans="34:35" x14ac:dyDescent="0.3">
      <c r="AH473" s="3" t="s">
        <v>663</v>
      </c>
      <c r="AI473" s="4">
        <v>19.751999999999999</v>
      </c>
    </row>
    <row r="474" spans="34:35" x14ac:dyDescent="0.3">
      <c r="AH474" s="3" t="s">
        <v>152</v>
      </c>
      <c r="AI474" s="4">
        <v>19.692</v>
      </c>
    </row>
    <row r="475" spans="34:35" x14ac:dyDescent="0.3">
      <c r="AH475" s="3" t="s">
        <v>484</v>
      </c>
      <c r="AI475" s="4">
        <v>19.559999999999999</v>
      </c>
    </row>
    <row r="476" spans="34:35" x14ac:dyDescent="0.3">
      <c r="AH476" s="3" t="s">
        <v>492</v>
      </c>
      <c r="AI476" s="4">
        <v>19.46</v>
      </c>
    </row>
    <row r="477" spans="34:35" x14ac:dyDescent="0.3">
      <c r="AH477" s="3" t="s">
        <v>485</v>
      </c>
      <c r="AI477" s="4">
        <v>19.46</v>
      </c>
    </row>
    <row r="478" spans="34:35" x14ac:dyDescent="0.3">
      <c r="AH478" s="3" t="s">
        <v>731</v>
      </c>
      <c r="AI478" s="4">
        <v>19.456</v>
      </c>
    </row>
    <row r="479" spans="34:35" x14ac:dyDescent="0.3">
      <c r="AH479" s="3" t="s">
        <v>655</v>
      </c>
      <c r="AI479" s="4">
        <v>19.440000000000001</v>
      </c>
    </row>
    <row r="480" spans="34:35" x14ac:dyDescent="0.3">
      <c r="AH480" s="3" t="s">
        <v>317</v>
      </c>
      <c r="AI480" s="4">
        <v>19.173000000000002</v>
      </c>
    </row>
    <row r="481" spans="34:35" x14ac:dyDescent="0.3">
      <c r="AH481" s="3" t="s">
        <v>143</v>
      </c>
      <c r="AI481" s="4">
        <v>19.096</v>
      </c>
    </row>
    <row r="482" spans="34:35" x14ac:dyDescent="0.3">
      <c r="AH482" s="3" t="s">
        <v>637</v>
      </c>
      <c r="AI482" s="4">
        <v>19.04</v>
      </c>
    </row>
    <row r="483" spans="34:35" x14ac:dyDescent="0.3">
      <c r="AH483" s="3" t="s">
        <v>679</v>
      </c>
      <c r="AI483" s="4">
        <v>18.97</v>
      </c>
    </row>
    <row r="484" spans="34:35" x14ac:dyDescent="0.3">
      <c r="AH484" s="3" t="s">
        <v>257</v>
      </c>
      <c r="AI484" s="4">
        <v>18.96</v>
      </c>
    </row>
    <row r="485" spans="34:35" x14ac:dyDescent="0.3">
      <c r="AH485" s="3" t="s">
        <v>549</v>
      </c>
      <c r="AI485" s="4">
        <v>18.882000000000001</v>
      </c>
    </row>
    <row r="486" spans="34:35" x14ac:dyDescent="0.3">
      <c r="AH486" s="3" t="s">
        <v>282</v>
      </c>
      <c r="AI486" s="4">
        <v>18.84</v>
      </c>
    </row>
    <row r="487" spans="34:35" x14ac:dyDescent="0.3">
      <c r="AH487" s="3" t="s">
        <v>185</v>
      </c>
      <c r="AI487" s="4">
        <v>18.704000000000001</v>
      </c>
    </row>
    <row r="488" spans="34:35" x14ac:dyDescent="0.3">
      <c r="AH488" s="3" t="s">
        <v>338</v>
      </c>
      <c r="AI488" s="4">
        <v>18.648</v>
      </c>
    </row>
    <row r="489" spans="34:35" x14ac:dyDescent="0.3">
      <c r="AH489" s="3" t="s">
        <v>723</v>
      </c>
      <c r="AI489" s="4">
        <v>18.144000000000002</v>
      </c>
    </row>
    <row r="490" spans="34:35" x14ac:dyDescent="0.3">
      <c r="AH490" s="3" t="s">
        <v>120</v>
      </c>
      <c r="AI490" s="4">
        <v>17.88</v>
      </c>
    </row>
    <row r="491" spans="34:35" x14ac:dyDescent="0.3">
      <c r="AH491" s="3" t="s">
        <v>729</v>
      </c>
      <c r="AI491" s="4">
        <v>17.616</v>
      </c>
    </row>
    <row r="492" spans="34:35" x14ac:dyDescent="0.3">
      <c r="AH492" s="3" t="s">
        <v>456</v>
      </c>
      <c r="AI492" s="4">
        <v>17.568000000000001</v>
      </c>
    </row>
    <row r="493" spans="34:35" x14ac:dyDescent="0.3">
      <c r="AH493" s="3" t="s">
        <v>258</v>
      </c>
      <c r="AI493" s="4">
        <v>17.46</v>
      </c>
    </row>
    <row r="494" spans="34:35" x14ac:dyDescent="0.3">
      <c r="AH494" s="3" t="s">
        <v>496</v>
      </c>
      <c r="AI494" s="4">
        <v>17.28</v>
      </c>
    </row>
    <row r="495" spans="34:35" x14ac:dyDescent="0.3">
      <c r="AH495" s="3" t="s">
        <v>471</v>
      </c>
      <c r="AI495" s="4">
        <v>17.12</v>
      </c>
    </row>
    <row r="496" spans="34:35" x14ac:dyDescent="0.3">
      <c r="AH496" s="3" t="s">
        <v>418</v>
      </c>
      <c r="AI496" s="4">
        <v>16.841999999999999</v>
      </c>
    </row>
    <row r="497" spans="34:35" x14ac:dyDescent="0.3">
      <c r="AH497" s="3" t="s">
        <v>598</v>
      </c>
      <c r="AI497" s="4">
        <v>16.776</v>
      </c>
    </row>
    <row r="498" spans="34:35" x14ac:dyDescent="0.3">
      <c r="AH498" s="3" t="s">
        <v>517</v>
      </c>
      <c r="AI498" s="4">
        <v>16.751999999999999</v>
      </c>
    </row>
    <row r="499" spans="34:35" x14ac:dyDescent="0.3">
      <c r="AH499" s="3" t="s">
        <v>487</v>
      </c>
      <c r="AI499" s="4">
        <v>16.52</v>
      </c>
    </row>
    <row r="500" spans="34:35" x14ac:dyDescent="0.3">
      <c r="AH500" s="3" t="s">
        <v>481</v>
      </c>
      <c r="AI500" s="4">
        <v>16.52</v>
      </c>
    </row>
    <row r="501" spans="34:35" x14ac:dyDescent="0.3">
      <c r="AH501" s="3" t="s">
        <v>732</v>
      </c>
      <c r="AI501" s="4">
        <v>16.224</v>
      </c>
    </row>
    <row r="502" spans="34:35" x14ac:dyDescent="0.3">
      <c r="AH502" s="3" t="s">
        <v>626</v>
      </c>
      <c r="AI502" s="4">
        <v>15.992000000000001</v>
      </c>
    </row>
    <row r="503" spans="34:35" x14ac:dyDescent="0.3">
      <c r="AH503" s="3" t="s">
        <v>691</v>
      </c>
      <c r="AI503" s="4">
        <v>15.984</v>
      </c>
    </row>
    <row r="504" spans="34:35" x14ac:dyDescent="0.3">
      <c r="AH504" s="3" t="s">
        <v>168</v>
      </c>
      <c r="AI504" s="4">
        <v>15.936</v>
      </c>
    </row>
    <row r="505" spans="34:35" x14ac:dyDescent="0.3">
      <c r="AH505" s="3" t="s">
        <v>538</v>
      </c>
      <c r="AI505" s="4">
        <v>15.911999999999999</v>
      </c>
    </row>
    <row r="506" spans="34:35" x14ac:dyDescent="0.3">
      <c r="AH506" s="3" t="s">
        <v>605</v>
      </c>
      <c r="AI506" s="4">
        <v>15.696</v>
      </c>
    </row>
    <row r="507" spans="34:35" x14ac:dyDescent="0.3">
      <c r="AH507" s="3" t="s">
        <v>722</v>
      </c>
      <c r="AI507" s="4">
        <v>15.552</v>
      </c>
    </row>
    <row r="508" spans="34:35" x14ac:dyDescent="0.3">
      <c r="AH508" s="3" t="s">
        <v>705</v>
      </c>
      <c r="AI508" s="4">
        <v>15.552</v>
      </c>
    </row>
    <row r="509" spans="34:35" x14ac:dyDescent="0.3">
      <c r="AH509" s="3" t="s">
        <v>667</v>
      </c>
      <c r="AI509" s="4">
        <v>15.54</v>
      </c>
    </row>
    <row r="510" spans="34:35" x14ac:dyDescent="0.3">
      <c r="AH510" s="3" t="s">
        <v>142</v>
      </c>
      <c r="AI510" s="4">
        <v>15.26</v>
      </c>
    </row>
    <row r="511" spans="34:35" x14ac:dyDescent="0.3">
      <c r="AH511" s="3" t="s">
        <v>672</v>
      </c>
      <c r="AI511" s="4">
        <v>15.22</v>
      </c>
    </row>
    <row r="512" spans="34:35" x14ac:dyDescent="0.3">
      <c r="AH512" s="3" t="s">
        <v>674</v>
      </c>
      <c r="AI512" s="4">
        <v>14.9</v>
      </c>
    </row>
    <row r="513" spans="34:35" x14ac:dyDescent="0.3">
      <c r="AH513" s="3" t="s">
        <v>276</v>
      </c>
      <c r="AI513" s="4">
        <v>14.88</v>
      </c>
    </row>
    <row r="514" spans="34:35" x14ac:dyDescent="0.3">
      <c r="AH514" s="3" t="s">
        <v>291</v>
      </c>
      <c r="AI514" s="4">
        <v>14.76</v>
      </c>
    </row>
    <row r="515" spans="34:35" x14ac:dyDescent="0.3">
      <c r="AH515" s="3" t="s">
        <v>544</v>
      </c>
      <c r="AI515" s="4">
        <v>14.7</v>
      </c>
    </row>
    <row r="516" spans="34:35" x14ac:dyDescent="0.3">
      <c r="AH516" s="3" t="s">
        <v>177</v>
      </c>
      <c r="AI516" s="4">
        <v>14.62</v>
      </c>
    </row>
    <row r="517" spans="34:35" x14ac:dyDescent="0.3">
      <c r="AH517" s="3" t="s">
        <v>169</v>
      </c>
      <c r="AI517" s="4">
        <v>14.62</v>
      </c>
    </row>
    <row r="518" spans="34:35" x14ac:dyDescent="0.3">
      <c r="AH518" s="3" t="s">
        <v>176</v>
      </c>
      <c r="AI518" s="4">
        <v>14.45</v>
      </c>
    </row>
    <row r="519" spans="34:35" x14ac:dyDescent="0.3">
      <c r="AH519" s="3" t="s">
        <v>650</v>
      </c>
      <c r="AI519" s="4">
        <v>14.352</v>
      </c>
    </row>
    <row r="520" spans="34:35" x14ac:dyDescent="0.3">
      <c r="AH520" s="3" t="s">
        <v>704</v>
      </c>
      <c r="AI520" s="4">
        <v>14.352</v>
      </c>
    </row>
    <row r="521" spans="34:35" x14ac:dyDescent="0.3">
      <c r="AH521" s="3" t="s">
        <v>186</v>
      </c>
      <c r="AI521" s="4">
        <v>14.352</v>
      </c>
    </row>
    <row r="522" spans="34:35" x14ac:dyDescent="0.3">
      <c r="AH522" s="3" t="s">
        <v>295</v>
      </c>
      <c r="AI522" s="4">
        <v>14.272</v>
      </c>
    </row>
    <row r="523" spans="34:35" x14ac:dyDescent="0.3">
      <c r="AH523" s="3" t="s">
        <v>556</v>
      </c>
      <c r="AI523" s="4">
        <v>14.016</v>
      </c>
    </row>
    <row r="524" spans="34:35" x14ac:dyDescent="0.3">
      <c r="AH524" s="3" t="s">
        <v>648</v>
      </c>
      <c r="AI524" s="4">
        <v>13.98</v>
      </c>
    </row>
    <row r="525" spans="34:35" x14ac:dyDescent="0.3">
      <c r="AH525" s="3" t="s">
        <v>330</v>
      </c>
      <c r="AI525" s="4">
        <v>13.96</v>
      </c>
    </row>
    <row r="526" spans="34:35" x14ac:dyDescent="0.3">
      <c r="AH526" s="3" t="s">
        <v>131</v>
      </c>
      <c r="AI526" s="4">
        <v>13.76</v>
      </c>
    </row>
    <row r="527" spans="34:35" x14ac:dyDescent="0.3">
      <c r="AH527" s="3" t="s">
        <v>565</v>
      </c>
      <c r="AI527" s="4">
        <v>13.700000000000001</v>
      </c>
    </row>
    <row r="528" spans="34:35" x14ac:dyDescent="0.3">
      <c r="AH528" s="3" t="s">
        <v>552</v>
      </c>
      <c r="AI528" s="4">
        <v>13.375999999999999</v>
      </c>
    </row>
    <row r="529" spans="34:35" x14ac:dyDescent="0.3">
      <c r="AH529" s="3" t="s">
        <v>701</v>
      </c>
      <c r="AI529" s="4">
        <v>13.36</v>
      </c>
    </row>
    <row r="530" spans="34:35" x14ac:dyDescent="0.3">
      <c r="AH530" s="3" t="s">
        <v>331</v>
      </c>
      <c r="AI530" s="4">
        <v>13.28</v>
      </c>
    </row>
    <row r="531" spans="34:35" x14ac:dyDescent="0.3">
      <c r="AH531" s="3" t="s">
        <v>585</v>
      </c>
      <c r="AI531" s="4">
        <v>13</v>
      </c>
    </row>
    <row r="532" spans="34:35" x14ac:dyDescent="0.3">
      <c r="AH532" s="3" t="s">
        <v>720</v>
      </c>
      <c r="AI532" s="4">
        <v>12.96</v>
      </c>
    </row>
    <row r="533" spans="34:35" x14ac:dyDescent="0.3">
      <c r="AH533" s="3" t="s">
        <v>719</v>
      </c>
      <c r="AI533" s="4">
        <v>12.96</v>
      </c>
    </row>
    <row r="534" spans="34:35" x14ac:dyDescent="0.3">
      <c r="AH534" s="3" t="s">
        <v>714</v>
      </c>
      <c r="AI534" s="4">
        <v>12.96</v>
      </c>
    </row>
    <row r="535" spans="34:35" x14ac:dyDescent="0.3">
      <c r="AH535" s="3" t="s">
        <v>710</v>
      </c>
      <c r="AI535" s="4">
        <v>12.96</v>
      </c>
    </row>
    <row r="536" spans="34:35" x14ac:dyDescent="0.3">
      <c r="AH536" s="3" t="s">
        <v>150</v>
      </c>
      <c r="AI536" s="4">
        <v>12.48</v>
      </c>
    </row>
    <row r="537" spans="34:35" x14ac:dyDescent="0.3">
      <c r="AH537" s="3" t="s">
        <v>661</v>
      </c>
      <c r="AI537" s="4">
        <v>12.462</v>
      </c>
    </row>
    <row r="538" spans="34:35" x14ac:dyDescent="0.3">
      <c r="AH538" s="3" t="s">
        <v>603</v>
      </c>
      <c r="AI538" s="4">
        <v>12.448</v>
      </c>
    </row>
    <row r="539" spans="34:35" x14ac:dyDescent="0.3">
      <c r="AH539" s="3" t="s">
        <v>610</v>
      </c>
      <c r="AI539" s="4">
        <v>12.32</v>
      </c>
    </row>
    <row r="540" spans="34:35" x14ac:dyDescent="0.3">
      <c r="AH540" s="3" t="s">
        <v>568</v>
      </c>
      <c r="AI540" s="4">
        <v>12.192</v>
      </c>
    </row>
    <row r="541" spans="34:35" x14ac:dyDescent="0.3">
      <c r="AH541" s="3" t="s">
        <v>526</v>
      </c>
      <c r="AI541" s="4">
        <v>12.096</v>
      </c>
    </row>
    <row r="542" spans="34:35" x14ac:dyDescent="0.3">
      <c r="AH542" s="3" t="s">
        <v>200</v>
      </c>
      <c r="AI542" s="4">
        <v>11.992000000000001</v>
      </c>
    </row>
    <row r="543" spans="34:35" x14ac:dyDescent="0.3">
      <c r="AH543" s="3" t="s">
        <v>261</v>
      </c>
      <c r="AI543" s="4">
        <v>11.927999999999999</v>
      </c>
    </row>
    <row r="544" spans="34:35" x14ac:dyDescent="0.3">
      <c r="AH544" s="3" t="s">
        <v>341</v>
      </c>
      <c r="AI544" s="4">
        <v>11.808</v>
      </c>
    </row>
    <row r="545" spans="34:35" x14ac:dyDescent="0.3">
      <c r="AH545" s="3" t="s">
        <v>175</v>
      </c>
      <c r="AI545" s="4">
        <v>11.784000000000001</v>
      </c>
    </row>
    <row r="546" spans="34:35" x14ac:dyDescent="0.3">
      <c r="AH546" s="3" t="s">
        <v>660</v>
      </c>
      <c r="AI546" s="4">
        <v>11.648</v>
      </c>
    </row>
    <row r="547" spans="34:35" x14ac:dyDescent="0.3">
      <c r="AH547" s="3" t="s">
        <v>542</v>
      </c>
      <c r="AI547" s="4">
        <v>11.648</v>
      </c>
    </row>
    <row r="548" spans="34:35" x14ac:dyDescent="0.3">
      <c r="AH548" s="3" t="s">
        <v>129</v>
      </c>
      <c r="AI548" s="4">
        <v>11.632</v>
      </c>
    </row>
    <row r="549" spans="34:35" x14ac:dyDescent="0.3">
      <c r="AH549" s="3" t="s">
        <v>616</v>
      </c>
      <c r="AI549" s="4">
        <v>11.56</v>
      </c>
    </row>
    <row r="550" spans="34:35" x14ac:dyDescent="0.3">
      <c r="AH550" s="3" t="s">
        <v>167</v>
      </c>
      <c r="AI550" s="4">
        <v>11.56</v>
      </c>
    </row>
    <row r="551" spans="34:35" x14ac:dyDescent="0.3">
      <c r="AH551" s="3" t="s">
        <v>137</v>
      </c>
      <c r="AI551" s="4">
        <v>11.36</v>
      </c>
    </row>
    <row r="552" spans="34:35" x14ac:dyDescent="0.3">
      <c r="AH552" s="3" t="s">
        <v>656</v>
      </c>
      <c r="AI552" s="4">
        <v>11.352</v>
      </c>
    </row>
    <row r="553" spans="34:35" x14ac:dyDescent="0.3">
      <c r="AH553" s="3" t="s">
        <v>675</v>
      </c>
      <c r="AI553" s="4">
        <v>11.34</v>
      </c>
    </row>
    <row r="554" spans="34:35" x14ac:dyDescent="0.3">
      <c r="AH554" s="3" t="s">
        <v>530</v>
      </c>
      <c r="AI554" s="4">
        <v>11.21</v>
      </c>
    </row>
    <row r="555" spans="34:35" x14ac:dyDescent="0.3">
      <c r="AH555" s="3" t="s">
        <v>270</v>
      </c>
      <c r="AI555" s="4">
        <v>11.16</v>
      </c>
    </row>
    <row r="556" spans="34:35" x14ac:dyDescent="0.3">
      <c r="AH556" s="3" t="s">
        <v>659</v>
      </c>
      <c r="AI556" s="4">
        <v>11.087999999999999</v>
      </c>
    </row>
    <row r="557" spans="34:35" x14ac:dyDescent="0.3">
      <c r="AH557" s="3" t="s">
        <v>144</v>
      </c>
      <c r="AI557" s="4">
        <v>10.824</v>
      </c>
    </row>
    <row r="558" spans="34:35" x14ac:dyDescent="0.3">
      <c r="AH558" s="3" t="s">
        <v>191</v>
      </c>
      <c r="AI558" s="4">
        <v>10.816000000000001</v>
      </c>
    </row>
    <row r="559" spans="34:35" x14ac:dyDescent="0.3">
      <c r="AH559" s="3" t="s">
        <v>431</v>
      </c>
      <c r="AI559" s="4">
        <v>10.67</v>
      </c>
    </row>
    <row r="560" spans="34:35" x14ac:dyDescent="0.3">
      <c r="AH560" s="3" t="s">
        <v>727</v>
      </c>
      <c r="AI560" s="4">
        <v>10.56</v>
      </c>
    </row>
    <row r="561" spans="34:35" x14ac:dyDescent="0.3">
      <c r="AH561" s="3" t="s">
        <v>681</v>
      </c>
      <c r="AI561" s="4">
        <v>10.368</v>
      </c>
    </row>
    <row r="562" spans="34:35" x14ac:dyDescent="0.3">
      <c r="AH562" s="3" t="s">
        <v>253</v>
      </c>
      <c r="AI562" s="4">
        <v>10.192</v>
      </c>
    </row>
    <row r="563" spans="34:35" x14ac:dyDescent="0.3">
      <c r="AH563" s="3" t="s">
        <v>543</v>
      </c>
      <c r="AI563" s="4">
        <v>9.99</v>
      </c>
    </row>
    <row r="564" spans="34:35" x14ac:dyDescent="0.3">
      <c r="AH564" s="3" t="s">
        <v>210</v>
      </c>
      <c r="AI564" s="4">
        <v>9.9359999999999999</v>
      </c>
    </row>
    <row r="565" spans="34:35" x14ac:dyDescent="0.3">
      <c r="AH565" s="3" t="s">
        <v>248</v>
      </c>
      <c r="AI565" s="4">
        <v>9.82</v>
      </c>
    </row>
    <row r="566" spans="34:35" x14ac:dyDescent="0.3">
      <c r="AH566" s="3" t="s">
        <v>136</v>
      </c>
      <c r="AI566" s="4">
        <v>9.6639999999999997</v>
      </c>
    </row>
    <row r="567" spans="34:35" x14ac:dyDescent="0.3">
      <c r="AH567" s="3" t="s">
        <v>454</v>
      </c>
      <c r="AI567" s="4">
        <v>9.64</v>
      </c>
    </row>
    <row r="568" spans="34:35" x14ac:dyDescent="0.3">
      <c r="AH568" s="3" t="s">
        <v>707</v>
      </c>
      <c r="AI568" s="4">
        <v>9.5679999999999996</v>
      </c>
    </row>
    <row r="569" spans="34:35" x14ac:dyDescent="0.3">
      <c r="AH569" s="3" t="s">
        <v>110</v>
      </c>
      <c r="AI569" s="4">
        <v>9.5519999999999996</v>
      </c>
    </row>
    <row r="570" spans="34:35" x14ac:dyDescent="0.3">
      <c r="AH570" s="3" t="s">
        <v>352</v>
      </c>
      <c r="AI570" s="4">
        <v>9.5220000000000002</v>
      </c>
    </row>
    <row r="571" spans="34:35" x14ac:dyDescent="0.3">
      <c r="AH571" s="3" t="s">
        <v>267</v>
      </c>
      <c r="AI571" s="4">
        <v>9.452</v>
      </c>
    </row>
    <row r="572" spans="34:35" x14ac:dyDescent="0.3">
      <c r="AH572" s="3" t="s">
        <v>537</v>
      </c>
      <c r="AI572" s="4">
        <v>9.42</v>
      </c>
    </row>
    <row r="573" spans="34:35" x14ac:dyDescent="0.3">
      <c r="AH573" s="3" t="s">
        <v>614</v>
      </c>
      <c r="AI573" s="4">
        <v>9.104000000000001</v>
      </c>
    </row>
    <row r="574" spans="34:35" x14ac:dyDescent="0.3">
      <c r="AH574" s="3" t="s">
        <v>415</v>
      </c>
      <c r="AI574" s="4">
        <v>9.09</v>
      </c>
    </row>
    <row r="575" spans="34:35" x14ac:dyDescent="0.3">
      <c r="AH575" s="3" t="s">
        <v>666</v>
      </c>
      <c r="AI575" s="4">
        <v>8.9039999999999999</v>
      </c>
    </row>
    <row r="576" spans="34:35" x14ac:dyDescent="0.3">
      <c r="AH576" s="3" t="s">
        <v>555</v>
      </c>
      <c r="AI576" s="4">
        <v>8.84</v>
      </c>
    </row>
    <row r="577" spans="34:35" x14ac:dyDescent="0.3">
      <c r="AH577" s="3" t="s">
        <v>498</v>
      </c>
      <c r="AI577" s="4">
        <v>8.82</v>
      </c>
    </row>
    <row r="578" spans="34:35" x14ac:dyDescent="0.3">
      <c r="AH578" s="3" t="s">
        <v>149</v>
      </c>
      <c r="AI578" s="4">
        <v>8.82</v>
      </c>
    </row>
    <row r="579" spans="34:35" x14ac:dyDescent="0.3">
      <c r="AH579" s="3" t="s">
        <v>114</v>
      </c>
      <c r="AI579" s="4">
        <v>8.76</v>
      </c>
    </row>
    <row r="580" spans="34:35" x14ac:dyDescent="0.3">
      <c r="AH580" s="3" t="s">
        <v>108</v>
      </c>
      <c r="AI580" s="4">
        <v>8.64</v>
      </c>
    </row>
    <row r="581" spans="34:35" x14ac:dyDescent="0.3">
      <c r="AH581" s="3" t="s">
        <v>497</v>
      </c>
      <c r="AI581" s="4">
        <v>8.56</v>
      </c>
    </row>
    <row r="582" spans="34:35" x14ac:dyDescent="0.3">
      <c r="AH582" s="3" t="s">
        <v>706</v>
      </c>
      <c r="AI582" s="4">
        <v>8.4480000000000004</v>
      </c>
    </row>
    <row r="583" spans="34:35" x14ac:dyDescent="0.3">
      <c r="AH583" s="3" t="s">
        <v>567</v>
      </c>
      <c r="AI583" s="4">
        <v>8.32</v>
      </c>
    </row>
    <row r="584" spans="34:35" x14ac:dyDescent="0.3">
      <c r="AH584" s="3" t="s">
        <v>501</v>
      </c>
      <c r="AI584" s="4">
        <v>8.26</v>
      </c>
    </row>
    <row r="585" spans="34:35" x14ac:dyDescent="0.3">
      <c r="AH585" s="3" t="s">
        <v>125</v>
      </c>
      <c r="AI585" s="4">
        <v>8.26</v>
      </c>
    </row>
    <row r="586" spans="34:35" x14ac:dyDescent="0.3">
      <c r="AH586" s="3" t="s">
        <v>608</v>
      </c>
      <c r="AI586" s="4">
        <v>8.2260000000000009</v>
      </c>
    </row>
    <row r="587" spans="34:35" x14ac:dyDescent="0.3">
      <c r="AH587" s="3" t="s">
        <v>662</v>
      </c>
      <c r="AI587" s="4">
        <v>8.16</v>
      </c>
    </row>
    <row r="588" spans="34:35" x14ac:dyDescent="0.3">
      <c r="AH588" s="3" t="s">
        <v>620</v>
      </c>
      <c r="AI588" s="4">
        <v>8.0960000000000001</v>
      </c>
    </row>
    <row r="589" spans="34:35" x14ac:dyDescent="0.3">
      <c r="AH589" s="3" t="s">
        <v>609</v>
      </c>
      <c r="AI589" s="4">
        <v>7.992</v>
      </c>
    </row>
    <row r="590" spans="34:35" x14ac:dyDescent="0.3">
      <c r="AH590" s="3" t="s">
        <v>712</v>
      </c>
      <c r="AI590" s="4">
        <v>7.968</v>
      </c>
    </row>
    <row r="591" spans="34:35" x14ac:dyDescent="0.3">
      <c r="AH591" s="3" t="s">
        <v>641</v>
      </c>
      <c r="AI591" s="4">
        <v>7.7119999999999997</v>
      </c>
    </row>
    <row r="592" spans="34:35" x14ac:dyDescent="0.3">
      <c r="AH592" s="3" t="s">
        <v>212</v>
      </c>
      <c r="AI592" s="4">
        <v>7.56</v>
      </c>
    </row>
    <row r="593" spans="34:35" x14ac:dyDescent="0.3">
      <c r="AH593" s="3" t="s">
        <v>109</v>
      </c>
      <c r="AI593" s="4">
        <v>7.52</v>
      </c>
    </row>
    <row r="594" spans="34:35" x14ac:dyDescent="0.3">
      <c r="AH594" s="3" t="s">
        <v>211</v>
      </c>
      <c r="AI594" s="4">
        <v>7.4080000000000004</v>
      </c>
    </row>
    <row r="595" spans="34:35" x14ac:dyDescent="0.3">
      <c r="AH595" s="3" t="s">
        <v>178</v>
      </c>
      <c r="AI595" s="4">
        <v>7.38</v>
      </c>
    </row>
    <row r="596" spans="34:35" x14ac:dyDescent="0.3">
      <c r="AH596" s="3" t="s">
        <v>500</v>
      </c>
      <c r="AI596" s="4">
        <v>7.3120000000000003</v>
      </c>
    </row>
    <row r="597" spans="34:35" x14ac:dyDescent="0.3">
      <c r="AH597" s="3" t="s">
        <v>525</v>
      </c>
      <c r="AI597" s="4">
        <v>7.28</v>
      </c>
    </row>
    <row r="598" spans="34:35" x14ac:dyDescent="0.3">
      <c r="AH598" s="3" t="s">
        <v>516</v>
      </c>
      <c r="AI598" s="4">
        <v>7.16</v>
      </c>
    </row>
    <row r="599" spans="34:35" x14ac:dyDescent="0.3">
      <c r="AH599" s="3" t="s">
        <v>189</v>
      </c>
      <c r="AI599" s="4">
        <v>7.16</v>
      </c>
    </row>
    <row r="600" spans="34:35" x14ac:dyDescent="0.3">
      <c r="AH600" s="3" t="s">
        <v>563</v>
      </c>
      <c r="AI600" s="4">
        <v>7.08</v>
      </c>
    </row>
    <row r="601" spans="34:35" x14ac:dyDescent="0.3">
      <c r="AH601" s="3" t="s">
        <v>488</v>
      </c>
      <c r="AI601" s="4">
        <v>7.04</v>
      </c>
    </row>
    <row r="602" spans="34:35" x14ac:dyDescent="0.3">
      <c r="AH602" s="3" t="s">
        <v>546</v>
      </c>
      <c r="AI602" s="4">
        <v>6.72</v>
      </c>
    </row>
    <row r="603" spans="34:35" x14ac:dyDescent="0.3">
      <c r="AH603" s="3" t="s">
        <v>252</v>
      </c>
      <c r="AI603" s="4">
        <v>6.72</v>
      </c>
    </row>
    <row r="604" spans="34:35" x14ac:dyDescent="0.3">
      <c r="AH604" s="3" t="s">
        <v>489</v>
      </c>
      <c r="AI604" s="4">
        <v>6.63</v>
      </c>
    </row>
    <row r="605" spans="34:35" x14ac:dyDescent="0.3">
      <c r="AH605" s="3" t="s">
        <v>527</v>
      </c>
      <c r="AI605" s="4">
        <v>6.57</v>
      </c>
    </row>
    <row r="606" spans="34:35" x14ac:dyDescent="0.3">
      <c r="AH606" s="3" t="s">
        <v>724</v>
      </c>
      <c r="AI606" s="4">
        <v>6.48</v>
      </c>
    </row>
    <row r="607" spans="34:35" x14ac:dyDescent="0.3">
      <c r="AH607" s="3" t="s">
        <v>592</v>
      </c>
      <c r="AI607" s="4">
        <v>6.3</v>
      </c>
    </row>
    <row r="608" spans="34:35" x14ac:dyDescent="0.3">
      <c r="AH608" s="3" t="s">
        <v>183</v>
      </c>
      <c r="AI608" s="4">
        <v>6.27</v>
      </c>
    </row>
    <row r="609" spans="34:35" x14ac:dyDescent="0.3">
      <c r="AH609" s="3" t="s">
        <v>690</v>
      </c>
      <c r="AI609" s="4">
        <v>5.98</v>
      </c>
    </row>
    <row r="610" spans="34:35" x14ac:dyDescent="0.3">
      <c r="AH610" s="3" t="s">
        <v>134</v>
      </c>
      <c r="AI610" s="4">
        <v>5.88</v>
      </c>
    </row>
    <row r="611" spans="34:35" x14ac:dyDescent="0.3">
      <c r="AH611" s="3" t="s">
        <v>328</v>
      </c>
      <c r="AI611" s="4">
        <v>5.6820000000000004</v>
      </c>
    </row>
    <row r="612" spans="34:35" x14ac:dyDescent="0.3">
      <c r="AH612" s="3" t="s">
        <v>545</v>
      </c>
      <c r="AI612" s="4">
        <v>5.56</v>
      </c>
    </row>
    <row r="613" spans="34:35" x14ac:dyDescent="0.3">
      <c r="AH613" s="3" t="s">
        <v>495</v>
      </c>
      <c r="AI613" s="4">
        <v>5.2480000000000002</v>
      </c>
    </row>
    <row r="614" spans="34:35" x14ac:dyDescent="0.3">
      <c r="AH614" s="3" t="s">
        <v>269</v>
      </c>
      <c r="AI614" s="4">
        <v>5.16</v>
      </c>
    </row>
    <row r="615" spans="34:35" x14ac:dyDescent="0.3">
      <c r="AH615" s="3" t="s">
        <v>187</v>
      </c>
      <c r="AI615" s="4">
        <v>5.1040000000000001</v>
      </c>
    </row>
    <row r="616" spans="34:35" x14ac:dyDescent="0.3">
      <c r="AH616" s="3" t="s">
        <v>625</v>
      </c>
      <c r="AI616" s="4">
        <v>5.08</v>
      </c>
    </row>
    <row r="617" spans="34:35" x14ac:dyDescent="0.3">
      <c r="AH617" s="3" t="s">
        <v>170</v>
      </c>
      <c r="AI617" s="4">
        <v>5.04</v>
      </c>
    </row>
    <row r="618" spans="34:35" x14ac:dyDescent="0.3">
      <c r="AH618" s="3" t="s">
        <v>141</v>
      </c>
      <c r="AI618" s="4">
        <v>5</v>
      </c>
    </row>
    <row r="619" spans="34:35" x14ac:dyDescent="0.3">
      <c r="AH619" s="3" t="s">
        <v>313</v>
      </c>
      <c r="AI619" s="4">
        <v>4.8899999999999997</v>
      </c>
    </row>
    <row r="620" spans="34:35" x14ac:dyDescent="0.3">
      <c r="AH620" s="3" t="s">
        <v>621</v>
      </c>
      <c r="AI620" s="4">
        <v>4.7519999999999998</v>
      </c>
    </row>
    <row r="621" spans="34:35" x14ac:dyDescent="0.3">
      <c r="AH621" s="3" t="s">
        <v>181</v>
      </c>
      <c r="AI621" s="4">
        <v>4.6159999999999997</v>
      </c>
    </row>
    <row r="622" spans="34:35" x14ac:dyDescent="0.3">
      <c r="AH622" s="3" t="s">
        <v>347</v>
      </c>
      <c r="AI622" s="4">
        <v>4.3120000000000003</v>
      </c>
    </row>
    <row r="623" spans="34:35" x14ac:dyDescent="0.3">
      <c r="AH623" s="3" t="s">
        <v>145</v>
      </c>
      <c r="AI623" s="4">
        <v>3.96</v>
      </c>
    </row>
    <row r="624" spans="34:35" x14ac:dyDescent="0.3">
      <c r="AH624" s="3" t="s">
        <v>209</v>
      </c>
      <c r="AI624" s="4">
        <v>3.3919999999999999</v>
      </c>
    </row>
    <row r="625" spans="34:35" x14ac:dyDescent="0.3">
      <c r="AH625" s="3" t="s">
        <v>293</v>
      </c>
      <c r="AI625" s="4">
        <v>3.3119999999999998</v>
      </c>
    </row>
    <row r="626" spans="34:35" x14ac:dyDescent="0.3">
      <c r="AH626" s="3" t="s">
        <v>583</v>
      </c>
      <c r="AI626" s="4">
        <v>3.28</v>
      </c>
    </row>
    <row r="627" spans="34:35" x14ac:dyDescent="0.3">
      <c r="AH627" s="3" t="s">
        <v>730</v>
      </c>
      <c r="AI627" s="4">
        <v>3.1360000000000001</v>
      </c>
    </row>
    <row r="628" spans="34:35" x14ac:dyDescent="0.3">
      <c r="AH628" s="3" t="s">
        <v>256</v>
      </c>
      <c r="AI628" s="4">
        <v>2.97</v>
      </c>
    </row>
    <row r="629" spans="34:35" x14ac:dyDescent="0.3">
      <c r="AH629" s="3" t="s">
        <v>551</v>
      </c>
      <c r="AI629" s="4">
        <v>2.9460000000000002</v>
      </c>
    </row>
    <row r="630" spans="34:35" x14ac:dyDescent="0.3">
      <c r="AH630" s="3" t="s">
        <v>356</v>
      </c>
      <c r="AI630" s="4">
        <v>2.91</v>
      </c>
    </row>
    <row r="631" spans="34:35" x14ac:dyDescent="0.3">
      <c r="AH631" s="3" t="s">
        <v>503</v>
      </c>
      <c r="AI631" s="4">
        <v>2.8159999999999998</v>
      </c>
    </row>
    <row r="632" spans="34:35" x14ac:dyDescent="0.3">
      <c r="AH632" s="3" t="s">
        <v>394</v>
      </c>
      <c r="AI632" s="4">
        <v>2.6880000000000002</v>
      </c>
    </row>
    <row r="633" spans="34:35" x14ac:dyDescent="0.3">
      <c r="AH633" s="3" t="s">
        <v>254</v>
      </c>
      <c r="AI633" s="4">
        <v>2.6240000000000001</v>
      </c>
    </row>
    <row r="634" spans="34:35" x14ac:dyDescent="0.3">
      <c r="AH634" s="3" t="s">
        <v>184</v>
      </c>
      <c r="AI634" s="4">
        <v>2.3879999999999999</v>
      </c>
    </row>
    <row r="635" spans="34:35" x14ac:dyDescent="0.3">
      <c r="AH635" s="3" t="s">
        <v>584</v>
      </c>
      <c r="AI635" s="4">
        <v>2.2000000000000002</v>
      </c>
    </row>
    <row r="636" spans="34:35" x14ac:dyDescent="0.3">
      <c r="AH636" s="3" t="s">
        <v>664</v>
      </c>
      <c r="AI636" s="4">
        <v>2.0249999999999999</v>
      </c>
    </row>
    <row r="637" spans="34:35" x14ac:dyDescent="0.3">
      <c r="AH637" s="3" t="s">
        <v>339</v>
      </c>
      <c r="AI637" s="4">
        <v>1.9410000000000001</v>
      </c>
    </row>
    <row r="638" spans="34:35" x14ac:dyDescent="0.3">
      <c r="AH638" s="3" t="s">
        <v>303</v>
      </c>
      <c r="AI638" s="4">
        <v>1.6240000000000001</v>
      </c>
    </row>
    <row r="639" spans="34:35" x14ac:dyDescent="0.3">
      <c r="AH639" s="3" t="s">
        <v>277</v>
      </c>
      <c r="AI639" s="4">
        <v>1.248</v>
      </c>
    </row>
    <row r="640" spans="34:35" x14ac:dyDescent="0.3">
      <c r="AH640" s="3" t="s">
        <v>180</v>
      </c>
      <c r="AI640" s="4">
        <v>1.167</v>
      </c>
    </row>
    <row r="641" spans="34:35" x14ac:dyDescent="0.3">
      <c r="AH641" s="3" t="s">
        <v>124</v>
      </c>
      <c r="AI641" s="4">
        <v>1.1120000000000001</v>
      </c>
    </row>
    <row r="642" spans="34:35" x14ac:dyDescent="0.3">
      <c r="AH642" s="3" t="s">
        <v>665</v>
      </c>
      <c r="AI642" s="4">
        <v>1.08</v>
      </c>
    </row>
    <row r="643" spans="34:35" x14ac:dyDescent="0.3">
      <c r="AH643" s="3" t="s">
        <v>8</v>
      </c>
      <c r="AI643" s="6">
        <v>168451.85380000013</v>
      </c>
    </row>
  </sheetData>
  <mergeCells count="11">
    <mergeCell ref="N24:O24"/>
    <mergeCell ref="F3:H3"/>
    <mergeCell ref="D9:F9"/>
    <mergeCell ref="H9:I9"/>
    <mergeCell ref="N9:O9"/>
    <mergeCell ref="Z25:AA25"/>
    <mergeCell ref="AH8:AI8"/>
    <mergeCell ref="AK8:AL8"/>
    <mergeCell ref="S9:T9"/>
    <mergeCell ref="W8:X8"/>
    <mergeCell ref="Z8:AA8"/>
  </mergeCells>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B020D-B9DA-46AA-9A65-86D98FC11DCB}">
  <dimension ref="L8"/>
  <sheetViews>
    <sheetView showGridLines="0" tabSelected="1" zoomScale="72" workbookViewId="0">
      <selection activeCell="AB34" sqref="AB34"/>
    </sheetView>
  </sheetViews>
  <sheetFormatPr defaultRowHeight="14.4" x14ac:dyDescent="0.3"/>
  <sheetData>
    <row r="8" spans="12:12" x14ac:dyDescent="0.3">
      <c r="L8"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5BB71F-28B1-45C5-A0C8-A3C8312826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 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varmaneha4940@gmail.com</dc:creator>
  <cp:lastModifiedBy>varmaneha4940@gmail.com</cp:lastModifiedBy>
  <dcterms:created xsi:type="dcterms:W3CDTF">2026-08-08T04:11:14Z</dcterms:created>
  <dcterms:modified xsi:type="dcterms:W3CDTF">2026-08-21T17:26:12Z</dcterms:modified>
</cp:coreProperties>
</file>